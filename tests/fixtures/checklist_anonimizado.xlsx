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505" tabRatio="601" firstSheet="0" activeTab="6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Identificación y Versiones" sheetId="3" state="visible" r:id="rId3"/>
    <sheet xmlns:r="http://schemas.openxmlformats.org/officeDocument/2006/relationships" name="Revisión Física y Eléctrica" sheetId="4" state="visible" r:id="rId4"/>
    <sheet xmlns:r="http://schemas.openxmlformats.org/officeDocument/2006/relationships" name="Casos de Prueba" sheetId="5" state="visible" r:id="rId5"/>
    <sheet xmlns:r="http://schemas.openxmlformats.org/officeDocument/2006/relationships" name="Incidencias" sheetId="6" state="visible" r:id="rId6"/>
    <sheet xmlns:r="http://schemas.openxmlformats.org/officeDocument/2006/relationships" name="Cierre de Sesión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charset val="1"/>
      <b val="1"/>
      <color rgb="FF09919D"/>
      <sz val="16"/>
    </font>
    <font>
      <name val="Arial"/>
      <charset val="1"/>
      <b val="1"/>
      <color rgb="FF09919D"/>
      <sz val="11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2EFEA"/>
      </patternFill>
    </fill>
    <fill>
      <patternFill patternType="solid">
        <fgColor rgb="FFE2EFEA"/>
        <bgColor rgb="FFCCFFFF"/>
      </patternFill>
    </fill>
    <fill>
      <patternFill patternType="solid">
        <fgColor rgb="FF09919D"/>
        <bgColor rgb="FF0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 wrapText="1"/>
    </xf>
    <xf numFmtId="20" fontId="3" fillId="2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3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9919D"/>
      <rgbColor rgb="FFBFBFBF"/>
      <rgbColor rgb="FF808080"/>
      <rgbColor rgb="FF9999FF"/>
      <rgbColor rgb="FF993366"/>
      <rgbColor rgb="FFFFF2CC"/>
      <rgbColor rgb="FFE2EF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110" customWidth="1" min="1" max="1"/>
  </cols>
  <sheetData>
    <row r="1" ht="20.25" customHeight="1">
      <c r="A1" s="1" t="inlineStr">
        <is>
          <t>Checklist de Pruebas y Validación Técnica — Proyecto Vending WPOSS</t>
        </is>
      </c>
    </row>
    <row r="3">
      <c r="A3" s="2" t="inlineStr">
        <is>
          <t>Cómo usar este libro</t>
        </is>
      </c>
    </row>
    <row r="4" ht="39.75" customHeight="1">
      <c r="A4" s="3" t="inlineStr">
        <is>
          <t>Este libro traduce el documento de contexto del checklist en una plantilla de trabajo. Cada pestaña cubre un bloque del checklist y se enlazan entre sí mediante el campo 'Sesión ID' (identificador único de cada visita/sesión de pruebas, ej. SES-001).</t>
        </is>
      </c>
    </row>
    <row r="6">
      <c r="A6" s="2" t="inlineStr">
        <is>
          <t>Pestañas</t>
        </is>
      </c>
    </row>
    <row r="7">
      <c r="A7" s="3" t="inlineStr">
        <is>
          <t>1. Identificación y Versiones — una fila por sesión: equipo, responsables, firmware, versión MDB, Financiera y Agente Polaris.</t>
        </is>
      </c>
    </row>
    <row r="8" ht="25.5" customHeight="1">
      <c r="A8" s="3" t="inlineStr">
        <is>
          <t>2. Revisión Física y Eléctrica — checklist de inspección física por sesión (duplicar el bloque de ítems para cada Sesión ID nueva).</t>
        </is>
      </c>
    </row>
    <row r="9" ht="25.5" customHeight="1">
      <c r="A9" s="3" t="inlineStr">
        <is>
          <t>3. Casos de Prueba — tabla detallada de casos ejecutados o revisados documentalmente, por componente (POS, MDB, Financiera, Agente Polaris, Operación/Dispensación).</t>
        </is>
      </c>
    </row>
    <row r="10">
      <c r="A10" s="3" t="inlineStr">
        <is>
          <t>4. Incidencias — registro de hallazgos/incidencias con trazabilidad a la prueba y sesión que las originó.</t>
        </is>
      </c>
    </row>
    <row r="11" ht="51" customHeight="1">
      <c r="A11" s="3" t="inlineStr">
        <is>
          <t>5. Cierre de Sesión — resumen de cierre por sesión: trae automáticamente los datos del equipo y de la visita desde 'Identificación y Versiones', calcula los totales desde 'Casos de Prueba' e 'Incidencias', y arma en la columna 'Resumen para correo' un bloque de texto listo para copiar y pegar en un correo. Las columnas C:R (datos de equipo) están agrupadas/colapsadas — use el '+' sobre la columna R para expandirlas si necesita verlas o editar el cálculo.</t>
        </is>
      </c>
    </row>
    <row r="13">
      <c r="A13" s="2" t="inlineStr">
        <is>
          <t>Leyenda de colores</t>
        </is>
      </c>
    </row>
    <row r="14">
      <c r="A14" s="4" t="inlineStr">
        <is>
          <t>Fila amarilla (EJEMPLO) = fila ilustrativa de formato esperado. Bórrela o reemplácela antes de registrar datos reales.</t>
        </is>
      </c>
    </row>
    <row r="15">
      <c r="A15" s="5" t="inlineStr">
        <is>
          <t>Celda verde claro = campo calculado automáticamente por fórmula; no escribir directamente sobre ella.</t>
        </is>
      </c>
    </row>
    <row r="17">
      <c r="A17" s="2" t="inlineStr">
        <is>
          <t>Reglas de diligenciamiento (del documento de contexto)</t>
        </is>
      </c>
    </row>
    <row r="18">
      <c r="A18" s="3" t="inlineStr">
        <is>
          <t>• No marcar una prueba como Aprobado si no se ejecutó y no existe evidencia suficiente.</t>
        </is>
      </c>
    </row>
    <row r="19">
      <c r="A19" s="3" t="inlineStr">
        <is>
          <t>• Diferenciar siempre entre una prueba ejecutada y una revisión documental (campo 'Tipo de verificación').</t>
        </is>
      </c>
    </row>
    <row r="20">
      <c r="A20" s="3" t="inlineStr">
        <is>
          <t>• No inventar versiones, resultados, especificaciones ni compatibilidades.</t>
        </is>
      </c>
    </row>
    <row r="21">
      <c r="A21" s="3" t="inlineStr">
        <is>
          <t>• Cuando un dato no se conozca, registrar "Pendiente de confirmar" e indicar quién debe confirmarlo (ver Observaciones).</t>
        </is>
      </c>
    </row>
    <row r="22" ht="25.5" customHeight="1">
      <c r="A22" s="3" t="inlineStr">
        <is>
          <t>• Registrar el modelo de máquina y las versiones exactas en cada sesión; los resultados no se generalizan automáticamente a otros modelos.</t>
        </is>
      </c>
    </row>
    <row r="23">
      <c r="A23" s="3" t="inlineStr">
        <is>
          <t>• Separar la aprobación financiera del resultado físico de dispensación (usar casos de prueba distintos).</t>
        </is>
      </c>
    </row>
    <row r="24">
      <c r="A24" s="3" t="inlineStr">
        <is>
          <t>• No realizar conexiones eléctricas ni pruebas de alimentación no autorizadas por el fabricante.</t>
        </is>
      </c>
    </row>
    <row r="25">
      <c r="A25" s="3" t="inlineStr">
        <is>
          <t>• No incluir credenciales, claves, datos completos de tarjetas ni información financiera sensible en evidencias.</t>
        </is>
      </c>
    </row>
    <row r="26">
      <c r="A26" s="3" t="inlineStr">
        <is>
          <t>• Registrar los criterios de aceptación (Resultado esperado) antes de ejecutar cada caso.</t>
        </is>
      </c>
    </row>
    <row r="27">
      <c r="A27" s="3" t="inlineStr">
        <is>
          <t>• Un cierre satisfactorio aplica únicamente al alcance y combinación de equipos/versiones efectivamente probados.</t>
        </is>
      </c>
    </row>
    <row r="29">
      <c r="A29" s="2" t="inlineStr">
        <is>
          <t>Fuera de alcance de esta versión</t>
        </is>
      </c>
    </row>
    <row r="30">
      <c r="A30" s="6" t="inlineStr">
        <is>
          <t>Pruebas de la plataforma de telemetría (frontend, backend, base de datos, reportería, KPIs, dashboards).</t>
        </is>
      </c>
    </row>
    <row r="32">
      <c r="A32" s="2" t="inlineStr">
        <is>
          <t>Preguntas abiertas pendientes de confirmar (ver documento de contexto, sección 9)</t>
        </is>
      </c>
    </row>
    <row r="33" ht="25.5" customHeight="1">
      <c r="A33" s="3" t="inlineStr">
        <is>
          <t>• ¿MDB se refiere al estándar/protocolo, a la versión de implementación o al módulo de software MDB? (la plantilla ya separa estos tres campos para evitar la ambigüedad mientras se confirma)</t>
        </is>
      </c>
    </row>
    <row r="34">
      <c r="A34" s="3" t="inlineStr">
        <is>
          <t>• ¿El Agente Polaris se ejecuta en el NEW5320 o en otro dispositivo, y qué funciones realiza exactamente?</t>
        </is>
      </c>
    </row>
    <row r="35">
      <c r="A35" s="3" t="inlineStr">
        <is>
          <t>• ¿Qué versión de Financiera debe registrarse y cómo se identifica?</t>
        </is>
      </c>
    </row>
    <row r="36">
      <c r="A36" s="3" t="inlineStr">
        <is>
          <t>• ¿Qué máquinas y modelos se incluirán en la matriz de compatibilidad?</t>
        </is>
      </c>
    </row>
    <row r="37">
      <c r="A37" s="3" t="inlineStr">
        <is>
          <t>• ¿Qué fuente oficial define la alimentación y capacidades MDB del NEW5320?</t>
        </is>
      </c>
    </row>
    <row r="38">
      <c r="A38" s="3" t="inlineStr">
        <is>
          <t>• ¿Cuáles son los criterios de salida para considerar una combinación apta para piloto?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zoomScaleNormal="100" workbookViewId="0">
      <selection activeCell="F14" sqref="F14"/>
    </sheetView>
  </sheetViews>
  <sheetFormatPr baseColWidth="10" defaultColWidth="8.7109375" defaultRowHeight="15"/>
  <cols>
    <col width="13.5703125" bestFit="1" customWidth="1" min="1" max="1"/>
    <col width="10.28515625" bestFit="1" customWidth="1" min="2" max="2"/>
    <col width="19.140625" bestFit="1" customWidth="1" min="3" max="3"/>
    <col width="22.5703125" bestFit="1" customWidth="1" min="4" max="5"/>
    <col width="20" bestFit="1" customWidth="1" min="6" max="6"/>
    <col width="19" bestFit="1" customWidth="1" min="7" max="7"/>
  </cols>
  <sheetData>
    <row r="1">
      <c r="A1" s="7" t="inlineStr">
        <is>
          <t>Estados</t>
        </is>
      </c>
      <c r="B1" s="7" t="inlineStr">
        <is>
          <t>Severidad</t>
        </is>
      </c>
      <c r="C1" s="7" t="inlineStr">
        <is>
          <t>Tipo de verificación</t>
        </is>
      </c>
      <c r="D1" s="7" t="inlineStr">
        <is>
          <t>Componente</t>
        </is>
      </c>
      <c r="E1" s="7" t="inlineStr">
        <is>
          <t>Tipo de prueba (sesión)</t>
        </is>
      </c>
      <c r="F1" s="7" t="inlineStr">
        <is>
          <t>Estado de incidencia</t>
        </is>
      </c>
      <c r="G1" s="7" t="inlineStr">
        <is>
          <t>Concepto final</t>
        </is>
      </c>
    </row>
    <row r="2">
      <c r="A2" s="6" t="inlineStr">
        <is>
          <t>Aprobado</t>
        </is>
      </c>
      <c r="B2" s="6" t="inlineStr">
        <is>
          <t>Crítica</t>
        </is>
      </c>
      <c r="C2" s="6" t="inlineStr">
        <is>
          <t>Prueba ejecutada</t>
        </is>
      </c>
      <c r="D2" s="6" t="inlineStr">
        <is>
          <t>Máquina Vending</t>
        </is>
      </c>
      <c r="E2" s="6" t="inlineStr">
        <is>
          <t>Instalación</t>
        </is>
      </c>
      <c r="F2" s="6" t="inlineStr">
        <is>
          <t>Abierto</t>
        </is>
      </c>
      <c r="G2" s="6" t="inlineStr">
        <is>
          <t>Apto para piloto</t>
        </is>
      </c>
    </row>
    <row r="3">
      <c r="A3" s="6" t="inlineStr">
        <is>
          <t>Fallido</t>
        </is>
      </c>
      <c r="B3" s="6" t="inlineStr">
        <is>
          <t>Alta</t>
        </is>
      </c>
      <c r="C3" s="6" t="inlineStr">
        <is>
          <t>Revisión documental</t>
        </is>
      </c>
      <c r="D3" s="6" t="inlineStr">
        <is>
          <t>POS NEW5320</t>
        </is>
      </c>
      <c r="E3" s="6" t="inlineStr">
        <is>
          <t>Diagnóstico</t>
        </is>
      </c>
      <c r="F3" s="6" t="inlineStr">
        <is>
          <t>En progreso</t>
        </is>
      </c>
      <c r="G3" s="6" t="inlineStr">
        <is>
          <t>Apto con condiciones</t>
        </is>
      </c>
    </row>
    <row r="4">
      <c r="A4" s="6" t="inlineStr">
        <is>
          <t>Bloqueado</t>
        </is>
      </c>
      <c r="B4" s="6" t="inlineStr">
        <is>
          <t>Media</t>
        </is>
      </c>
      <c r="D4" s="6" t="inlineStr">
        <is>
          <t>MDB</t>
        </is>
      </c>
      <c r="E4" s="6" t="inlineStr">
        <is>
          <t>Compatibilidad</t>
        </is>
      </c>
      <c r="F4" s="6" t="inlineStr">
        <is>
          <t>Pendiente de reprueba</t>
        </is>
      </c>
      <c r="G4" s="6" t="inlineStr">
        <is>
          <t>No apto</t>
        </is>
      </c>
    </row>
    <row r="5">
      <c r="A5" s="6" t="inlineStr">
        <is>
          <t>Pendiente</t>
        </is>
      </c>
      <c r="B5" s="6" t="inlineStr">
        <is>
          <t>Baja</t>
        </is>
      </c>
      <c r="D5" s="6" t="inlineStr">
        <is>
          <t>Financiera</t>
        </is>
      </c>
      <c r="E5" s="6" t="inlineStr">
        <is>
          <t>Piloto</t>
        </is>
      </c>
      <c r="F5" s="6" t="inlineStr">
        <is>
          <t>Cerrado</t>
        </is>
      </c>
      <c r="G5" s="6" t="inlineStr">
        <is>
          <t>Pendiente</t>
        </is>
      </c>
    </row>
    <row r="6">
      <c r="A6" s="6" t="inlineStr">
        <is>
          <t>No aplica</t>
        </is>
      </c>
      <c r="D6" s="6" t="inlineStr">
        <is>
          <t>Agente Polaris</t>
        </is>
      </c>
      <c r="E6" s="6" t="inlineStr">
        <is>
          <t>Actualización de versión</t>
        </is>
      </c>
    </row>
    <row r="7">
      <c r="A7" s="6" t="inlineStr">
        <is>
          <t>En observación</t>
        </is>
      </c>
      <c r="D7" s="6" t="inlineStr">
        <is>
          <t>Operación / Dispensación</t>
        </is>
      </c>
      <c r="E7" s="6" t="inlineStr">
        <is>
          <t>Regresión</t>
        </is>
      </c>
    </row>
    <row r="8">
      <c r="D8" s="6" t="inlineStr">
        <is>
          <t>Otro</t>
        </is>
      </c>
      <c r="E8" s="6" t="inlineStr">
        <is>
          <t>Otro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"/>
  <sheetViews>
    <sheetView showGridLines="0" zoomScaleNormal="100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Z4" sqref="Z4"/>
    </sheetView>
  </sheetViews>
  <sheetFormatPr baseColWidth="10" defaultColWidth="8.7109375" defaultRowHeight="15"/>
  <cols>
    <col width="10" customWidth="1" min="1" max="2"/>
    <col width="8" customWidth="1" min="3" max="3"/>
    <col width="14" customWidth="1" min="4" max="4"/>
    <col width="16" customWidth="1" min="5" max="6"/>
    <col width="14" customWidth="1" min="7" max="8"/>
    <col width="13.5703125" customWidth="1" min="9" max="9"/>
    <col width="12" customWidth="1" min="10" max="10"/>
    <col width="16.42578125" customWidth="1" style="23" min="11" max="11"/>
    <col width="20" customWidth="1" min="12" max="12"/>
    <col width="14" customWidth="1" min="13" max="14"/>
    <col width="16" customWidth="1" min="15" max="16"/>
    <col width="14" customWidth="1" min="17" max="17"/>
    <col width="12" customWidth="1" min="18" max="18"/>
    <col width="14" customWidth="1" min="19" max="19"/>
    <col width="18" customWidth="1" min="20" max="20"/>
    <col width="14" customWidth="1" min="21" max="22"/>
    <col width="12" customWidth="1" min="23" max="23"/>
    <col width="16" customWidth="1" min="24" max="25"/>
    <col width="20" customWidth="1" min="26" max="26"/>
  </cols>
  <sheetData>
    <row r="1" ht="38.25" customHeight="1">
      <c r="A1" s="8" t="inlineStr">
        <is>
          <t>Sesión ID</t>
        </is>
      </c>
      <c r="B1" s="8" t="inlineStr">
        <is>
          <t>Fecha</t>
        </is>
      </c>
      <c r="C1" s="8" t="inlineStr">
        <is>
          <t>Hora</t>
        </is>
      </c>
      <c r="D1" s="8" t="inlineStr">
        <is>
          <t>Responsable</t>
        </is>
      </c>
      <c r="E1" s="8" t="inlineStr">
        <is>
          <t>Participantes</t>
        </is>
      </c>
      <c r="F1" s="8" t="inlineStr">
        <is>
          <t>Cliente / Piloto</t>
        </is>
      </c>
      <c r="G1" s="8" t="inlineStr">
        <is>
          <t>Fabricante máquina</t>
        </is>
      </c>
      <c r="H1" s="8" t="inlineStr">
        <is>
          <t>Modelo máquina</t>
        </is>
      </c>
      <c r="I1" s="8" t="inlineStr">
        <is>
          <t>Serial máquina</t>
        </is>
      </c>
      <c r="J1" s="8" t="inlineStr">
        <is>
          <t>Modelo POS</t>
        </is>
      </c>
      <c r="K1" s="8" t="inlineStr">
        <is>
          <t>Serial POS</t>
        </is>
      </c>
      <c r="L1" s="8" t="inlineStr">
        <is>
          <t>Objetivo de la sesión</t>
        </is>
      </c>
      <c r="M1" s="8" t="inlineStr">
        <is>
          <t>Tipo de prueba</t>
        </is>
      </c>
      <c r="N1" s="8" t="inlineStr">
        <is>
          <t>Firmware NEW5320</t>
        </is>
      </c>
      <c r="O1" s="8" t="inlineStr">
        <is>
          <t>MDB — Estándar / Especificación</t>
        </is>
      </c>
      <c r="P1" s="8" t="inlineStr">
        <is>
          <t>MDB — Versión de implementación</t>
        </is>
      </c>
      <c r="Q1" s="8" t="inlineStr">
        <is>
          <t>MDB — Módulo de software</t>
        </is>
      </c>
      <c r="R1" s="8" t="inlineStr">
        <is>
          <t>Versión Financiera</t>
        </is>
      </c>
      <c r="S1" s="8" t="inlineStr">
        <is>
          <t>Versión Agente Polaris</t>
        </is>
      </c>
      <c r="T1" s="8" t="inlineStr">
        <is>
          <t>Configuraciones relevantes</t>
        </is>
      </c>
      <c r="U1" s="8" t="inlineStr">
        <is>
          <t>Versión anterior (si aplica)</t>
        </is>
      </c>
      <c r="V1" s="8" t="inlineStr">
        <is>
          <t>Versión nueva (si aplica)</t>
        </is>
      </c>
      <c r="W1" s="8" t="inlineStr">
        <is>
          <t>Fecha de instalación</t>
        </is>
      </c>
      <c r="X1" s="8" t="inlineStr">
        <is>
          <t>Identificador de compilación / checksum</t>
        </is>
      </c>
      <c r="Y1" s="8" t="inlineStr">
        <is>
          <t>Compatibilidad prevista</t>
        </is>
      </c>
      <c r="Z1" s="8" t="inlineStr">
        <is>
          <t>Observaciones</t>
        </is>
      </c>
    </row>
    <row r="2" ht="38.25" customFormat="1" customHeight="1" s="14">
      <c r="A2" s="12" t="inlineStr">
        <is>
          <t>SES-001</t>
        </is>
      </c>
      <c r="B2" s="12" t="inlineStr">
        <is>
          <t>2026-10-26</t>
        </is>
      </c>
      <c r="C2" s="12" t="inlineStr">
        <is>
          <t>10:30</t>
        </is>
      </c>
      <c r="D2" s="12" t="inlineStr">
        <is>
          <t>Pendiente de confirmar</t>
        </is>
      </c>
      <c r="E2" s="12" t="inlineStr">
        <is>
          <t>Pendiente de confirmar</t>
        </is>
      </c>
      <c r="F2" s="12" t="inlineStr">
        <is>
          <t>Pendiente de confirmar</t>
        </is>
      </c>
      <c r="G2" s="12" t="inlineStr">
        <is>
          <t>Pendiente de confirmar</t>
        </is>
      </c>
      <c r="H2" s="12" t="inlineStr">
        <is>
          <t>Pendiente de confirmar</t>
        </is>
      </c>
      <c r="I2" s="12" t="inlineStr">
        <is>
          <t>Pendiente de confirmar</t>
        </is>
      </c>
      <c r="J2" s="12" t="inlineStr">
        <is>
          <t>NEW5320</t>
        </is>
      </c>
      <c r="K2" s="15" t="inlineStr">
        <is>
          <t>Pendiente de confirmar</t>
        </is>
      </c>
      <c r="L2" s="12" t="inlineStr">
        <is>
          <t>Validación inicial de comunicación MDB</t>
        </is>
      </c>
      <c r="M2" s="12" t="inlineStr">
        <is>
          <t>Diagnóstico</t>
        </is>
      </c>
      <c r="N2" s="12" t="inlineStr">
        <is>
          <t>Pendiente de confirmar</t>
        </is>
      </c>
      <c r="O2" s="12" t="inlineStr">
        <is>
          <t>Pendiente de confirmar</t>
        </is>
      </c>
      <c r="P2" s="12" t="inlineStr">
        <is>
          <t>Pendiente de confirmar</t>
        </is>
      </c>
      <c r="Q2" s="12" t="inlineStr">
        <is>
          <t>Pendiente de confirmar</t>
        </is>
      </c>
      <c r="R2" s="12" t="inlineStr">
        <is>
          <t>Pendiente de confirmar</t>
        </is>
      </c>
      <c r="S2" s="12" t="inlineStr">
        <is>
          <t>Pendiente de confirmar</t>
        </is>
      </c>
      <c r="T2" s="12" t="inlineStr">
        <is>
          <t>Pendiente de confirmar</t>
        </is>
      </c>
      <c r="U2" s="12" t="inlineStr">
        <is>
          <t>N/A</t>
        </is>
      </c>
      <c r="V2" s="12" t="inlineStr">
        <is>
          <t>N/A</t>
        </is>
      </c>
      <c r="W2" s="12" t="inlineStr">
        <is>
          <t>N/A</t>
        </is>
      </c>
      <c r="X2" s="12" t="inlineStr">
        <is>
          <t>N/A</t>
        </is>
      </c>
      <c r="Y2" s="12" t="inlineStr">
        <is>
          <t>Pendiente de confirmar</t>
        </is>
      </c>
      <c r="Z2" s="12" t="inlineStr">
        <is>
          <t>Fila de ejemplo — reemplazar con datos reales de la sesión</t>
        </is>
      </c>
    </row>
    <row r="3" ht="63.75" customFormat="1" customHeight="1" s="14">
      <c r="A3" s="12" t="inlineStr">
        <is>
          <t>SES-002</t>
        </is>
      </c>
      <c r="B3" s="12" t="inlineStr">
        <is>
          <t>2026-10-26</t>
        </is>
      </c>
      <c r="C3" s="12" t="inlineStr">
        <is>
          <t>10:30</t>
        </is>
      </c>
      <c r="D3" s="12" t="inlineStr">
        <is>
          <t>Técnico A</t>
        </is>
      </c>
      <c r="E3" s="12" t="inlineStr">
        <is>
          <t>Equipo técnico WPOSS / Equipo técnico del cliente</t>
        </is>
      </c>
      <c r="F3" s="12" t="inlineStr">
        <is>
          <t>Cliente Ficticio Uno</t>
        </is>
      </c>
      <c r="G3" s="12" t="inlineStr">
        <is>
          <t>Fabricante A</t>
        </is>
      </c>
      <c r="H3" s="12" t="inlineStr">
        <is>
          <t>Modelo A-1</t>
        </is>
      </c>
      <c r="I3" s="12" t="inlineStr">
        <is>
          <t>SERIAL-MAQ-0001</t>
        </is>
      </c>
      <c r="J3" s="12" t="inlineStr">
        <is>
          <t>NEW5320</t>
        </is>
      </c>
      <c r="K3" s="15" t="inlineStr">
        <is>
          <t>SERIAL-POS-0001</t>
        </is>
      </c>
      <c r="L3" s="12" t="inlineStr">
        <is>
          <t>Validación inicial de comunicación MDB</t>
        </is>
      </c>
      <c r="M3" s="12" t="inlineStr">
        <is>
          <t>Compatibilidad</t>
        </is>
      </c>
      <c r="N3" s="12" t="inlineStr">
        <is>
          <t>13.0.13</t>
        </is>
      </c>
      <c r="O3" s="12" t="inlineStr">
        <is>
          <t>Estándar</t>
        </is>
      </c>
      <c r="P3" s="12" t="inlineStr">
        <is>
          <t>Estándar</t>
        </is>
      </c>
      <c r="Q3" s="12" t="inlineStr">
        <is>
          <t>Estándar</t>
        </is>
      </c>
      <c r="R3" s="12" t="inlineStr">
        <is>
          <t>Estándar</t>
        </is>
      </c>
      <c r="S3" s="12" t="inlineStr">
        <is>
          <t>Estándar</t>
        </is>
      </c>
      <c r="T3" s="12" t="inlineStr">
        <is>
          <t>Estándar</t>
        </is>
      </c>
      <c r="U3" s="12" t="inlineStr">
        <is>
          <t>N/A</t>
        </is>
      </c>
      <c r="V3" s="12" t="inlineStr">
        <is>
          <t>N/A</t>
        </is>
      </c>
      <c r="W3" s="12" t="inlineStr">
        <is>
          <t>N/A</t>
        </is>
      </c>
      <c r="X3" s="12" t="inlineStr">
        <is>
          <t>N/A</t>
        </is>
      </c>
      <c r="Y3" s="12" t="inlineStr">
        <is>
          <t>Compatible</t>
        </is>
      </c>
      <c r="Z3" s="12" t="inlineStr">
        <is>
          <t>sin gestion dex</t>
        </is>
      </c>
    </row>
    <row r="4" ht="51" customFormat="1" customHeight="1" s="14">
      <c r="A4" s="12" t="inlineStr">
        <is>
          <t>SES-003</t>
        </is>
      </c>
      <c r="B4" s="12" t="inlineStr">
        <is>
          <t>2026-10-26</t>
        </is>
      </c>
      <c r="C4" s="19" t="n">
        <v>0.5833333333333334</v>
      </c>
      <c r="D4" s="12" t="inlineStr">
        <is>
          <t>Técnico B</t>
        </is>
      </c>
      <c r="E4" s="12" t="inlineStr">
        <is>
          <t>Equipo técnico WPOSS / Técnico C</t>
        </is>
      </c>
      <c r="F4" s="12" t="inlineStr">
        <is>
          <t>Cliente Ficticio Dos</t>
        </is>
      </c>
      <c r="G4" s="12" t="inlineStr">
        <is>
          <t>Fabricante B</t>
        </is>
      </c>
      <c r="H4" s="12" t="n"/>
      <c r="I4" s="12" t="n"/>
      <c r="J4" s="12" t="inlineStr">
        <is>
          <t>NEW5320</t>
        </is>
      </c>
      <c r="K4" s="15" t="inlineStr">
        <is>
          <t>SERIAL-POS-0002</t>
        </is>
      </c>
      <c r="L4" s="12" t="inlineStr">
        <is>
          <t>Validación inicial de comunicación MDB</t>
        </is>
      </c>
      <c r="M4" s="12" t="inlineStr">
        <is>
          <t>Diagnóstico</t>
        </is>
      </c>
      <c r="N4" s="12" t="inlineStr">
        <is>
          <t>13.0.22</t>
        </is>
      </c>
      <c r="O4" s="12" t="inlineStr">
        <is>
          <t>Estándar</t>
        </is>
      </c>
      <c r="P4" s="12" t="inlineStr">
        <is>
          <t>Estándar</t>
        </is>
      </c>
      <c r="Q4" s="12" t="inlineStr">
        <is>
          <t>Estándar</t>
        </is>
      </c>
      <c r="R4" s="12" t="inlineStr">
        <is>
          <t>MDB_FINANCIAL_TEST_1.0.0_260622</t>
        </is>
      </c>
      <c r="S4" s="12" t="inlineStr">
        <is>
          <t>DRIVER_MDB_1.0.0_261020-TEST</t>
        </is>
      </c>
      <c r="T4" s="12" t="inlineStr">
        <is>
          <t>Estándar</t>
        </is>
      </c>
      <c r="U4" s="12" t="inlineStr">
        <is>
          <t>N/A</t>
        </is>
      </c>
      <c r="V4" s="12" t="inlineStr">
        <is>
          <t>N/A</t>
        </is>
      </c>
      <c r="W4" s="12" t="inlineStr">
        <is>
          <t>N/A</t>
        </is>
      </c>
      <c r="X4" s="12" t="inlineStr">
        <is>
          <t>N/A</t>
        </is>
      </c>
      <c r="Y4" s="12" t="inlineStr">
        <is>
          <t>Compatible</t>
        </is>
      </c>
      <c r="Z4" s="12" t="inlineStr">
        <is>
          <t>sin gestion dex</t>
        </is>
      </c>
    </row>
    <row r="5" customFormat="1" s="14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5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 customFormat="1" s="14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5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customFormat="1" s="14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5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 customFormat="1" s="14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5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 customFormat="1" s="14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5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 customFormat="1" s="14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5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customFormat="1" s="14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5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customFormat="1" s="14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5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customFormat="1" s="14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5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 customFormat="1" s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5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customFormat="1" s="14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5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customFormat="1" s="14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5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customFormat="1" s="14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5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customFormat="1" s="14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5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customFormat="1" s="14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5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 customFormat="1" s="14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5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customFormat="1" s="14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5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customFormat="1" s="14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5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customFormat="1" s="14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5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customFormat="1" s="1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5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customFormat="1" s="14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5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customFormat="1" s="14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5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customFormat="1" s="14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5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customFormat="1" s="14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5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 customFormat="1" s="14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5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zoomScaleNormal="100" workbookViewId="0">
      <pane ySplit="1" topLeftCell="A2" activePane="bottomLeft" state="frozen"/>
      <selection pane="bottomLeft" activeCell="C20" sqref="C20"/>
    </sheetView>
  </sheetViews>
  <sheetFormatPr baseColWidth="10" defaultColWidth="8.7109375" defaultRowHeight="15"/>
  <cols>
    <col width="9.5703125" bestFit="1" customWidth="1" min="1" max="1"/>
    <col width="66" bestFit="1" customWidth="1" min="2" max="2"/>
    <col width="10" bestFit="1" customWidth="1" min="3" max="3"/>
    <col width="9.85546875" bestFit="1" customWidth="1" min="4" max="4"/>
    <col width="58.42578125" bestFit="1" customWidth="1" min="5" max="5"/>
  </cols>
  <sheetData>
    <row r="1">
      <c r="A1" s="8" t="inlineStr">
        <is>
          <t>Sesión ID</t>
        </is>
      </c>
      <c r="B1" s="8" t="inlineStr">
        <is>
          <t>Ítem de revisión</t>
        </is>
      </c>
      <c r="C1" s="8" t="inlineStr">
        <is>
          <t>Resultado</t>
        </is>
      </c>
      <c r="D1" s="8" t="inlineStr">
        <is>
          <t>Evidencia</t>
        </is>
      </c>
      <c r="E1" s="8" t="inlineStr">
        <is>
          <t>Observaciones</t>
        </is>
      </c>
    </row>
    <row r="2">
      <c r="A2" s="9" t="inlineStr">
        <is>
          <t>SES-001</t>
        </is>
      </c>
      <c r="B2" s="9" t="inlineStr">
        <is>
          <t>Estado físico de la máquina vending</t>
        </is>
      </c>
      <c r="C2" s="9" t="inlineStr">
        <is>
          <t>Pendiente</t>
        </is>
      </c>
      <c r="D2" s="9" t="n"/>
      <c r="E2" s="9" t="inlineStr">
        <is>
          <t>Fila de ejemplo — duplicar este bloque de ítems por cada Sesión ID</t>
        </is>
      </c>
    </row>
    <row r="3">
      <c r="A3" s="9" t="inlineStr">
        <is>
          <t>SES-001</t>
        </is>
      </c>
      <c r="B3" s="9" t="inlineStr">
        <is>
          <t>Estado físico del POS NEW5320</t>
        </is>
      </c>
      <c r="C3" s="9" t="inlineStr">
        <is>
          <t>Pendiente</t>
        </is>
      </c>
      <c r="D3" s="9" t="n"/>
      <c r="E3" s="9" t="inlineStr">
        <is>
          <t>Fila de ejemplo — duplicar este bloque de ítems por cada Sesión ID</t>
        </is>
      </c>
    </row>
    <row r="4">
      <c r="A4" s="9" t="inlineStr">
        <is>
          <t>SES-001</t>
        </is>
      </c>
      <c r="B4" s="9" t="inlineStr">
        <is>
          <t>Cables y conectores (estado e integridad)</t>
        </is>
      </c>
      <c r="C4" s="9" t="inlineStr">
        <is>
          <t>Pendiente</t>
        </is>
      </c>
      <c r="D4" s="9" t="n"/>
      <c r="E4" s="9" t="inlineStr">
        <is>
          <t>Fila de ejemplo — duplicar este bloque de ítems por cada Sesión ID</t>
        </is>
      </c>
    </row>
    <row r="5">
      <c r="A5" s="9" t="inlineStr">
        <is>
          <t>SES-001</t>
        </is>
      </c>
      <c r="B5" s="9" t="inlineStr">
        <is>
          <t>Interfaces disponibles en la máquina (puertos identificados)</t>
        </is>
      </c>
      <c r="C5" s="9" t="inlineStr">
        <is>
          <t>Pendiente</t>
        </is>
      </c>
      <c r="D5" s="9" t="n"/>
      <c r="E5" s="9" t="inlineStr">
        <is>
          <t>Fila de ejemplo — duplicar este bloque de ítems por cada Sesión ID</t>
        </is>
      </c>
    </row>
    <row r="6">
      <c r="A6" s="9" t="inlineStr">
        <is>
          <t>SES-001</t>
        </is>
      </c>
      <c r="B6" s="9" t="inlineStr">
        <is>
          <t>Adaptadores utilizados (tipo y compatibilidad)</t>
        </is>
      </c>
      <c r="C6" s="9" t="inlineStr">
        <is>
          <t>Pendiente</t>
        </is>
      </c>
      <c r="D6" s="9" t="n"/>
      <c r="E6" s="9" t="inlineStr">
        <is>
          <t>Fila de ejemplo — duplicar este bloque de ítems por cada Sesión ID</t>
        </is>
      </c>
    </row>
    <row r="7">
      <c r="A7" s="9" t="inlineStr">
        <is>
          <t>SES-001</t>
        </is>
      </c>
      <c r="B7" s="9" t="inlineStr">
        <is>
          <t>Alimentación utilizada y especificaciones (voltaje/corriente medidos si aplica)</t>
        </is>
      </c>
      <c r="C7" s="9" t="inlineStr">
        <is>
          <t>Pendiente</t>
        </is>
      </c>
      <c r="D7" s="9" t="n"/>
      <c r="E7" s="9" t="inlineStr">
        <is>
          <t>Fila de ejemplo — duplicar este bloque de ítems por cada Sesión ID</t>
        </is>
      </c>
    </row>
    <row r="8">
      <c r="A8" s="9" t="inlineStr">
        <is>
          <t>SES-001</t>
        </is>
      </c>
      <c r="B8" s="9" t="inlineStr">
        <is>
          <t>Fotografías de conexiones tomadas</t>
        </is>
      </c>
      <c r="C8" s="9" t="inlineStr">
        <is>
          <t>Pendiente</t>
        </is>
      </c>
      <c r="D8" s="9" t="n"/>
      <c r="E8" s="9" t="inlineStr">
        <is>
          <t>Fila de ejemplo — duplicar este bloque de ítems por cada Sesión ID</t>
        </is>
      </c>
    </row>
    <row r="9">
      <c r="A9" s="9" t="inlineStr">
        <is>
          <t>SES-001</t>
        </is>
      </c>
      <c r="B9" s="9" t="inlineStr">
        <is>
          <t>Condiciones de seguridad y preparación verificadas</t>
        </is>
      </c>
      <c r="C9" s="9" t="inlineStr">
        <is>
          <t>Pendiente</t>
        </is>
      </c>
      <c r="D9" s="9" t="n"/>
      <c r="E9" s="9" t="inlineStr">
        <is>
          <t>Fila de ejemplo — duplicar este bloque de ítems por cada Sesión ID</t>
        </is>
      </c>
    </row>
    <row r="10">
      <c r="A10" s="17" t="inlineStr">
        <is>
          <t>SES-002</t>
        </is>
      </c>
      <c r="B10" s="17" t="inlineStr">
        <is>
          <t>Estado físico de la máquina vending</t>
        </is>
      </c>
      <c r="C10" s="17" t="inlineStr">
        <is>
          <t>Aprobado</t>
        </is>
      </c>
      <c r="D10" s="17" t="n"/>
      <c r="E10" s="17" t="inlineStr">
        <is>
          <t>Fila de ejemplo — duplicar este bloque de ítems por cada Sesión ID</t>
        </is>
      </c>
    </row>
    <row r="11">
      <c r="A11" s="17" t="inlineStr">
        <is>
          <t>SES-002</t>
        </is>
      </c>
      <c r="B11" s="17" t="inlineStr">
        <is>
          <t>Estado físico del POS NEW5320</t>
        </is>
      </c>
      <c r="C11" s="17" t="inlineStr">
        <is>
          <t>Aprobado</t>
        </is>
      </c>
      <c r="D11" s="17" t="n"/>
      <c r="E11" s="17" t="inlineStr">
        <is>
          <t>Fila de ejemplo — duplicar este bloque de ítems por cada Sesión ID</t>
        </is>
      </c>
    </row>
    <row r="12">
      <c r="A12" s="17" t="inlineStr">
        <is>
          <t>SES-002</t>
        </is>
      </c>
      <c r="B12" s="17" t="inlineStr">
        <is>
          <t>Cables y conectores (estado e integridad)</t>
        </is>
      </c>
      <c r="C12" s="17" t="inlineStr">
        <is>
          <t>Aprobado</t>
        </is>
      </c>
      <c r="D12" s="17" t="n"/>
      <c r="E12" s="17" t="inlineStr">
        <is>
          <t>Fila de ejemplo — duplicar este bloque de ítems por cada Sesión ID</t>
        </is>
      </c>
    </row>
    <row r="13">
      <c r="A13" s="17" t="inlineStr">
        <is>
          <t>SES-002</t>
        </is>
      </c>
      <c r="B13" s="17" t="inlineStr">
        <is>
          <t>Interfaces disponibles en la máquina (puertos identificados)</t>
        </is>
      </c>
      <c r="C13" s="17" t="inlineStr">
        <is>
          <t>No aplica</t>
        </is>
      </c>
      <c r="D13" s="17" t="n"/>
      <c r="E13" s="17" t="inlineStr">
        <is>
          <t>Fila de ejemplo — duplicar este bloque de ítems por cada Sesión ID</t>
        </is>
      </c>
    </row>
    <row r="14">
      <c r="A14" s="17" t="inlineStr">
        <is>
          <t>SES-002</t>
        </is>
      </c>
      <c r="B14" s="17" t="inlineStr">
        <is>
          <t>Adaptadores utilizados (tipo y compatibilidad)</t>
        </is>
      </c>
      <c r="C14" s="17" t="inlineStr">
        <is>
          <t>No aplica</t>
        </is>
      </c>
      <c r="D14" s="17" t="n"/>
      <c r="E14" s="17" t="inlineStr">
        <is>
          <t>Fila de ejemplo — duplicar este bloque de ítems por cada Sesión ID</t>
        </is>
      </c>
    </row>
    <row r="15">
      <c r="A15" s="17" t="inlineStr">
        <is>
          <t>SES-002</t>
        </is>
      </c>
      <c r="B15" s="17" t="inlineStr">
        <is>
          <t>Alimentación utilizada y especificaciones (voltaje/corriente medidos si aplica)</t>
        </is>
      </c>
      <c r="C15" s="17" t="inlineStr">
        <is>
          <t>Aprobado</t>
        </is>
      </c>
      <c r="D15" s="17" t="n"/>
      <c r="E15" s="17" t="inlineStr">
        <is>
          <t>Fila de ejemplo — duplicar este bloque de ítems por cada Sesión ID</t>
        </is>
      </c>
    </row>
    <row r="16">
      <c r="A16" s="17" t="inlineStr">
        <is>
          <t>SES-002</t>
        </is>
      </c>
      <c r="B16" s="17" t="inlineStr">
        <is>
          <t>Fotografías de conexiones tomadas</t>
        </is>
      </c>
      <c r="C16" s="17" t="inlineStr">
        <is>
          <t>Pendiente</t>
        </is>
      </c>
      <c r="D16" s="17" t="n"/>
      <c r="E16" s="17" t="inlineStr">
        <is>
          <t>Fila de ejemplo — duplicar este bloque de ítems por cada Sesión ID</t>
        </is>
      </c>
    </row>
    <row r="17">
      <c r="A17" s="17" t="inlineStr">
        <is>
          <t>SES-002</t>
        </is>
      </c>
      <c r="B17" s="17" t="inlineStr">
        <is>
          <t>Condiciones de seguridad y preparación verificadas</t>
        </is>
      </c>
      <c r="C17" s="17" t="inlineStr">
        <is>
          <t>No aplica</t>
        </is>
      </c>
      <c r="D17" s="17" t="n"/>
      <c r="E17" s="17" t="inlineStr">
        <is>
          <t>Fila de ejemplo — duplicar este bloque de ítems por cada Sesión ID</t>
        </is>
      </c>
    </row>
    <row r="18">
      <c r="A18" s="17" t="inlineStr">
        <is>
          <t>SES-003</t>
        </is>
      </c>
      <c r="B18" s="17" t="inlineStr">
        <is>
          <t>Estado físico de la máquina vending</t>
        </is>
      </c>
      <c r="C18" s="17" t="inlineStr">
        <is>
          <t>Aprobado</t>
        </is>
      </c>
      <c r="D18" s="17" t="n"/>
      <c r="E18" s="17" t="inlineStr">
        <is>
          <t>Fila de ejemplo — duplicar este bloque de ítems por cada Sesión ID</t>
        </is>
      </c>
    </row>
    <row r="19">
      <c r="A19" s="17" t="inlineStr">
        <is>
          <t>SES-003</t>
        </is>
      </c>
      <c r="B19" s="17" t="inlineStr">
        <is>
          <t>Estado físico del POS NEW5320</t>
        </is>
      </c>
      <c r="C19" s="17" t="inlineStr">
        <is>
          <t>Aprobado</t>
        </is>
      </c>
      <c r="D19" s="17" t="n"/>
      <c r="E19" s="17" t="inlineStr">
        <is>
          <t>Fila de ejemplo — duplicar este bloque de ítems por cada Sesión ID</t>
        </is>
      </c>
    </row>
    <row r="20">
      <c r="A20" s="17" t="inlineStr">
        <is>
          <t>SES-003</t>
        </is>
      </c>
      <c r="B20" s="17" t="inlineStr">
        <is>
          <t>Cables y conectores (estado e integridad)</t>
        </is>
      </c>
      <c r="C20" s="17" t="inlineStr">
        <is>
          <t>Aprobado</t>
        </is>
      </c>
      <c r="D20" s="17" t="n"/>
      <c r="E20" s="17" t="inlineStr">
        <is>
          <t>Fila de ejemplo — duplicar este bloque de ítems por cada Sesión ID</t>
        </is>
      </c>
    </row>
    <row r="21">
      <c r="A21" s="17" t="inlineStr">
        <is>
          <t>SES-003</t>
        </is>
      </c>
      <c r="B21" s="17" t="inlineStr">
        <is>
          <t>Interfaces disponibles en la máquina (puertos identificados)</t>
        </is>
      </c>
      <c r="C21" s="17" t="inlineStr">
        <is>
          <t>Fallido</t>
        </is>
      </c>
      <c r="D21" s="17" t="n"/>
      <c r="E21" s="17" t="inlineStr">
        <is>
          <t>No se en cuentra la persona de Soporte de la maquina</t>
        </is>
      </c>
    </row>
    <row r="22">
      <c r="A22" s="17" t="inlineStr">
        <is>
          <t>SES-003</t>
        </is>
      </c>
      <c r="B22" s="17" t="inlineStr">
        <is>
          <t>Adaptadores utilizados (tipo y compatibilidad)</t>
        </is>
      </c>
      <c r="C22" s="17" t="inlineStr">
        <is>
          <t>No aplica</t>
        </is>
      </c>
      <c r="D22" s="17" t="n"/>
      <c r="E22" s="17" t="inlineStr">
        <is>
          <t>Fila de ejemplo — duplicar este bloque de ítems por cada Sesión ID</t>
        </is>
      </c>
    </row>
    <row r="23">
      <c r="A23" s="17" t="inlineStr">
        <is>
          <t>SES-003</t>
        </is>
      </c>
      <c r="B23" s="17" t="inlineStr">
        <is>
          <t>Alimentación utilizada y especificaciones (voltaje/corriente medidos si aplica)</t>
        </is>
      </c>
      <c r="C23" s="17" t="inlineStr">
        <is>
          <t>Aprobado</t>
        </is>
      </c>
      <c r="D23" s="17" t="n"/>
      <c r="E23" s="17" t="inlineStr">
        <is>
          <t>Fila de ejemplo — duplicar este bloque de ítems por cada Sesión ID</t>
        </is>
      </c>
    </row>
    <row r="24">
      <c r="A24" s="17" t="inlineStr">
        <is>
          <t>SES-003</t>
        </is>
      </c>
      <c r="B24" s="17" t="inlineStr">
        <is>
          <t>Fotografías de conexiones tomadas</t>
        </is>
      </c>
      <c r="C24" s="17" t="inlineStr">
        <is>
          <t>Aprobado</t>
        </is>
      </c>
      <c r="D24" s="17" t="n"/>
      <c r="E24" s="17" t="inlineStr">
        <is>
          <t>Fila de ejemplo — duplicar este bloque de ítems por cada Sesión ID</t>
        </is>
      </c>
    </row>
    <row r="25">
      <c r="A25" s="17" t="inlineStr">
        <is>
          <t>SES-003</t>
        </is>
      </c>
      <c r="B25" s="17" t="inlineStr">
        <is>
          <t>Condiciones de seguridad y preparación verificadas</t>
        </is>
      </c>
      <c r="C25" s="17" t="inlineStr">
        <is>
          <t>Fallido</t>
        </is>
      </c>
      <c r="D25" s="17" t="n"/>
      <c r="E25" s="17" t="inlineStr">
        <is>
          <t>no se cuenta con energia</t>
        </is>
      </c>
    </row>
    <row r="26">
      <c r="A26" s="17" t="n"/>
      <c r="B26" s="17" t="n"/>
      <c r="C26" s="17" t="n"/>
      <c r="D26" s="17" t="n"/>
      <c r="E26" s="17" t="n"/>
    </row>
    <row r="27">
      <c r="A27" s="17" t="n"/>
      <c r="B27" s="17" t="n"/>
      <c r="C27" s="17" t="n"/>
      <c r="D27" s="17" t="n"/>
      <c r="E27" s="17" t="n"/>
    </row>
    <row r="28">
      <c r="A28" s="17" t="n"/>
      <c r="B28" s="17" t="n"/>
      <c r="C28" s="17" t="n"/>
      <c r="D28" s="17" t="n"/>
      <c r="E28" s="17" t="n"/>
    </row>
    <row r="29">
      <c r="A29" s="17" t="n"/>
      <c r="B29" s="17" t="n"/>
      <c r="C29" s="17" t="n"/>
      <c r="D29" s="17" t="n"/>
      <c r="E29" s="17" t="n"/>
    </row>
    <row r="30">
      <c r="A30" s="17" t="n"/>
      <c r="B30" s="17" t="n"/>
      <c r="C30" s="17" t="n"/>
      <c r="D30" s="17" t="n"/>
      <c r="E30" s="17" t="n"/>
    </row>
    <row r="31">
      <c r="A31" s="17" t="n"/>
      <c r="B31" s="17" t="n"/>
      <c r="C31" s="17" t="n"/>
      <c r="D31" s="17" t="n"/>
      <c r="E31" s="17" t="n"/>
    </row>
    <row r="32">
      <c r="A32" s="17" t="n"/>
      <c r="B32" s="17" t="n"/>
      <c r="C32" s="17" t="n"/>
      <c r="D32" s="17" t="n"/>
      <c r="E32" s="17" t="n"/>
    </row>
    <row r="33">
      <c r="A33" s="17" t="n"/>
      <c r="B33" s="17" t="n"/>
      <c r="C33" s="17" t="n"/>
      <c r="D33" s="17" t="n"/>
      <c r="E33" s="17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zoomScaleNormal="100" workbookViewId="0">
      <pane xSplit="2" ySplit="1" topLeftCell="D8" activePane="bottomRight" state="frozen"/>
      <selection pane="topRight" activeCell="C1" sqref="C1"/>
      <selection pane="bottomLeft" activeCell="A2" sqref="A2"/>
      <selection pane="bottomRight" activeCell="L11" sqref="L11"/>
    </sheetView>
  </sheetViews>
  <sheetFormatPr baseColWidth="10" defaultColWidth="8.7109375" defaultRowHeight="15"/>
  <cols>
    <col width="8.7109375" bestFit="1" customWidth="1" style="14" min="1" max="1"/>
    <col width="9.5703125" bestFit="1" customWidth="1" style="14" min="2" max="2"/>
    <col width="14" bestFit="1" customWidth="1" style="14" min="3" max="3"/>
    <col width="15.42578125" bestFit="1" customWidth="1" style="14" min="4" max="4"/>
    <col width="23.7109375" bestFit="1" customWidth="1" style="14" min="5" max="5"/>
    <col width="28.140625" bestFit="1" customWidth="1" style="14" min="6" max="6"/>
    <col width="32" bestFit="1" customWidth="1" style="14" min="7" max="7"/>
    <col width="30.42578125" bestFit="1" customWidth="1" style="14" min="8" max="8"/>
    <col width="20.140625" bestFit="1" customWidth="1" style="14" min="9" max="9"/>
    <col width="9.28515625" bestFit="1" customWidth="1" style="14" min="10" max="10"/>
    <col width="9.85546875" bestFit="1" customWidth="1" style="14" min="11" max="11"/>
    <col width="26" customWidth="1" style="14" min="12" max="12"/>
    <col width="12.5703125" bestFit="1" customWidth="1" style="14" min="13" max="13"/>
    <col width="10.42578125" bestFit="1" customWidth="1" style="14" min="14" max="14"/>
    <col width="16.42578125" bestFit="1" customWidth="1" style="14" min="15" max="15"/>
    <col width="8.7109375" customWidth="1" style="14" min="16" max="16384"/>
  </cols>
  <sheetData>
    <row r="1" ht="25.5" customHeight="1">
      <c r="A1" s="8" t="inlineStr">
        <is>
          <t>ID de prueba</t>
        </is>
      </c>
      <c r="B1" s="8" t="inlineStr">
        <is>
          <t>Sesión ID</t>
        </is>
      </c>
      <c r="C1" s="8" t="inlineStr">
        <is>
          <t>Componente</t>
        </is>
      </c>
      <c r="D1" s="8" t="inlineStr">
        <is>
          <t>Tipo de verificación</t>
        </is>
      </c>
      <c r="E1" s="8" t="inlineStr">
        <is>
          <t>Objetivo</t>
        </is>
      </c>
      <c r="F1" s="8" t="inlineStr">
        <is>
          <t>Precondiciones</t>
        </is>
      </c>
      <c r="G1" s="8" t="inlineStr">
        <is>
          <t>Procedimiento</t>
        </is>
      </c>
      <c r="H1" s="8" t="inlineStr">
        <is>
          <t>Resultado esperado</t>
        </is>
      </c>
      <c r="I1" s="8" t="inlineStr">
        <is>
          <t>Resultado obtenido</t>
        </is>
      </c>
      <c r="J1" s="8" t="inlineStr">
        <is>
          <t>Estado</t>
        </is>
      </c>
      <c r="K1" s="8" t="inlineStr">
        <is>
          <t>Evidencia</t>
        </is>
      </c>
      <c r="L1" s="8" t="inlineStr">
        <is>
          <t>Observaciones</t>
        </is>
      </c>
      <c r="M1" s="8" t="inlineStr">
        <is>
          <t>Responsable</t>
        </is>
      </c>
      <c r="N1" s="8" t="inlineStr">
        <is>
          <t>Incidencia asociada</t>
        </is>
      </c>
      <c r="O1" s="8" t="inlineStr">
        <is>
          <t>Siguiente acción</t>
        </is>
      </c>
    </row>
    <row r="2" ht="51" customHeight="1">
      <c r="A2" s="12" t="inlineStr">
        <is>
          <t>POS-001</t>
        </is>
      </c>
      <c r="B2" s="12" t="inlineStr">
        <is>
          <t>SES-001</t>
        </is>
      </c>
      <c r="C2" s="12" t="inlineStr">
        <is>
          <t>POS NEW5320</t>
        </is>
      </c>
      <c r="D2" s="12" t="inlineStr">
        <is>
          <t>Prueba ejecutada</t>
        </is>
      </c>
      <c r="E2" s="12" t="inlineStr">
        <is>
          <t>Verificar encendido y energización correcta del POS</t>
        </is>
      </c>
      <c r="F2" s="12" t="inlineStr">
        <is>
          <t>POS conectado al puerto MDB correspondiente, máquina apagada antes de conectar</t>
        </is>
      </c>
      <c r="G2" s="12" t="inlineStr">
        <is>
          <t>1) Apagar máquina. 2) Conectar cable al puerto identificado como MDB. 3) Encender máquina. 4) Observar encendido del POS.</t>
        </is>
      </c>
      <c r="H2" s="12" t="inlineStr">
        <is>
          <t>El POS enciende y el lector de tarjetas queda activo</t>
        </is>
      </c>
      <c r="I2" s="12" t="inlineStr">
        <is>
          <t>Pendiente de confirmar</t>
        </is>
      </c>
      <c r="J2" s="12" t="inlineStr">
        <is>
          <t>Pendiente</t>
        </is>
      </c>
      <c r="K2" s="12" t="n"/>
      <c r="L2" s="12" t="inlineStr">
        <is>
          <t>Fila de ejemplo — reemplazar con datos reales</t>
        </is>
      </c>
      <c r="M2" s="12" t="inlineStr">
        <is>
          <t>Pendiente de confirmar</t>
        </is>
      </c>
      <c r="N2" s="12" t="n"/>
      <c r="O2" s="12" t="inlineStr">
        <is>
          <t>Pendiente de confirmar</t>
        </is>
      </c>
    </row>
    <row r="3" ht="51" customHeight="1">
      <c r="A3" s="12" t="inlineStr">
        <is>
          <t>MDB-001</t>
        </is>
      </c>
      <c r="B3" s="12" t="inlineStr">
        <is>
          <t>SES-001</t>
        </is>
      </c>
      <c r="C3" s="12" t="inlineStr">
        <is>
          <t>MDB</t>
        </is>
      </c>
      <c r="D3" s="12" t="inlineStr">
        <is>
          <t>Prueba ejecutada</t>
        </is>
      </c>
      <c r="E3" s="12" t="inlineStr">
        <is>
          <t>Verificar dirección Cashless configurada en el bus MDB</t>
        </is>
      </c>
      <c r="F3" s="12" t="inlineStr">
        <is>
          <t>POS energizado y comunicando en el bus MDB</t>
        </is>
      </c>
      <c r="G3" s="12" t="inlineStr">
        <is>
          <t>1) Conectar sniffer/herramienta de diagnóstico. 2) Capturar tráfico. 3) Identificar dirección reportada por el dispositivo.</t>
        </is>
      </c>
      <c r="H3" s="12" t="inlineStr">
        <is>
          <t>La dirección coincide con la documentada por el fabricante (no asumir 0x10 de fábrica)</t>
        </is>
      </c>
      <c r="I3" s="12" t="inlineStr">
        <is>
          <t>Pendiente de confirmar</t>
        </is>
      </c>
      <c r="J3" s="12" t="inlineStr">
        <is>
          <t>Pendiente</t>
        </is>
      </c>
      <c r="K3" s="12" t="n"/>
      <c r="L3" s="12" t="inlineStr">
        <is>
          <t>Fila de ejemplo — reemplazar con datos reales</t>
        </is>
      </c>
      <c r="M3" s="12" t="inlineStr">
        <is>
          <t>Pendiente de confirmar</t>
        </is>
      </c>
      <c r="N3" s="12" t="n"/>
      <c r="O3" s="12" t="inlineStr">
        <is>
          <t>Pendiente de confirmar</t>
        </is>
      </c>
    </row>
    <row r="4" ht="38.25" customHeight="1">
      <c r="A4" s="12" t="inlineStr">
        <is>
          <t>FIN-001</t>
        </is>
      </c>
      <c r="B4" s="12" t="inlineStr">
        <is>
          <t>SES-001</t>
        </is>
      </c>
      <c r="C4" s="12" t="inlineStr">
        <is>
          <t>Financiera</t>
        </is>
      </c>
      <c r="D4" s="12" t="inlineStr">
        <is>
          <t>Prueba ejecutada</t>
        </is>
      </c>
      <c r="E4" s="12" t="inlineStr">
        <is>
          <t>Verificar transacción autorizada de punta a punta</t>
        </is>
      </c>
      <c r="F4" s="12" t="inlineStr">
        <is>
          <t>Componente Financiera inicializado y conectividad confirmada</t>
        </is>
      </c>
      <c r="G4" s="12" t="inlineStr">
        <is>
          <t>1) Iniciar operación. 2) Autorizar pago de prueba. 3) Verificar código de respuesta.</t>
        </is>
      </c>
      <c r="H4" s="12" t="inlineStr">
        <is>
          <t>Transacción aprobada con código de respuesta esperado, sin afectar datos sensibles en evidencia</t>
        </is>
      </c>
      <c r="I4" s="12" t="inlineStr">
        <is>
          <t>Pendiente de confirmar</t>
        </is>
      </c>
      <c r="J4" s="12" t="inlineStr">
        <is>
          <t>Pendiente</t>
        </is>
      </c>
      <c r="K4" s="12" t="n"/>
      <c r="L4" s="12" t="inlineStr">
        <is>
          <t>Fila de ejemplo — reemplazar con datos reales</t>
        </is>
      </c>
      <c r="M4" s="12" t="inlineStr">
        <is>
          <t>Pendiente de confirmar</t>
        </is>
      </c>
      <c r="N4" s="12" t="n"/>
      <c r="O4" s="12" t="inlineStr">
        <is>
          <t>Pendiente de confirmar</t>
        </is>
      </c>
    </row>
    <row r="5" ht="38.25" customHeight="1">
      <c r="A5" s="12" t="inlineStr">
        <is>
          <t>AGP-001</t>
        </is>
      </c>
      <c r="B5" s="12" t="inlineStr">
        <is>
          <t>SES-001</t>
        </is>
      </c>
      <c r="C5" s="12" t="inlineStr">
        <is>
          <t>Agente Polaris</t>
        </is>
      </c>
      <c r="D5" s="12" t="inlineStr">
        <is>
          <t>Revisión documental</t>
        </is>
      </c>
      <c r="E5" s="12" t="inlineStr">
        <is>
          <t>Confirmar versión instalada del Agente Polaris</t>
        </is>
      </c>
      <c r="F5" s="12" t="inlineStr">
        <is>
          <t>Acceso al dispositivo donde se ejecuta el agente (pendiente de confirmar cuál)</t>
        </is>
      </c>
      <c r="G5" s="12" t="inlineStr">
        <is>
          <t>1) Consultar versión instalada. 2) Documentar.</t>
        </is>
      </c>
      <c r="H5" s="12" t="inlineStr">
        <is>
          <t>Versión documentada coincide con la versión esperada para la sesión</t>
        </is>
      </c>
      <c r="I5" s="12" t="inlineStr">
        <is>
          <t>Pendiente de confirmar</t>
        </is>
      </c>
      <c r="J5" s="12" t="inlineStr">
        <is>
          <t>Pendiente</t>
        </is>
      </c>
      <c r="K5" s="12" t="n"/>
      <c r="L5" s="12" t="inlineStr">
        <is>
          <t>Fila de ejemplo — reemplazar con datos reales</t>
        </is>
      </c>
      <c r="M5" s="12" t="inlineStr">
        <is>
          <t>Pendiente de confirmar</t>
        </is>
      </c>
      <c r="N5" s="12" t="n"/>
      <c r="O5" s="12" t="inlineStr">
        <is>
          <t>Pendiente de confirmar</t>
        </is>
      </c>
    </row>
    <row r="6" ht="38.25" customHeight="1">
      <c r="A6" s="12" t="inlineStr">
        <is>
          <t>VEN-001</t>
        </is>
      </c>
      <c r="B6" s="12" t="inlineStr">
        <is>
          <t>SES-001</t>
        </is>
      </c>
      <c r="C6" s="12" t="inlineStr">
        <is>
          <t>Operación / Dispensación</t>
        </is>
      </c>
      <c r="D6" s="12" t="inlineStr">
        <is>
          <t>Prueba ejecutada</t>
        </is>
      </c>
      <c r="E6" s="12" t="inlineStr">
        <is>
          <t>Verificar consistencia entre aprobación financiera y dispensación física</t>
        </is>
      </c>
      <c r="F6" s="12" t="inlineStr">
        <is>
          <t>Producto seleccionado con precio definido, pago aprobado en caso FIN-001</t>
        </is>
      </c>
      <c r="G6" s="12" t="inlineStr">
        <is>
          <t>1) Seleccionar producto. 2) Pagar. 3) Verificar dispensación física del producto.</t>
        </is>
      </c>
      <c r="H6" s="12" t="inlineStr">
        <is>
          <t>El producto se dispensa únicamente cuando el pago fue aprobado; no hay duplicidad</t>
        </is>
      </c>
      <c r="I6" s="12" t="inlineStr">
        <is>
          <t>Pendiente de confirmar</t>
        </is>
      </c>
      <c r="J6" s="12" t="inlineStr">
        <is>
          <t>Pendiente</t>
        </is>
      </c>
      <c r="K6" s="12" t="n"/>
      <c r="L6" s="12" t="inlineStr">
        <is>
          <t>Fila de ejemplo — reemplazar con datos reales</t>
        </is>
      </c>
      <c r="M6" s="12" t="inlineStr">
        <is>
          <t>Pendiente de confirmar</t>
        </is>
      </c>
      <c r="N6" s="12" t="n"/>
      <c r="O6" s="12" t="inlineStr">
        <is>
          <t>Pendiente de confirmar</t>
        </is>
      </c>
    </row>
    <row r="7" ht="51" customHeight="1">
      <c r="A7" s="22" t="inlineStr">
        <is>
          <t>POS-002</t>
        </is>
      </c>
      <c r="B7" s="22" t="inlineStr">
        <is>
          <t>SES-002</t>
        </is>
      </c>
      <c r="C7" s="22" t="inlineStr">
        <is>
          <t>POS NEW5320</t>
        </is>
      </c>
      <c r="D7" s="22" t="inlineStr">
        <is>
          <t>Prueba ejecutada</t>
        </is>
      </c>
      <c r="E7" s="22" t="inlineStr">
        <is>
          <t>Verificar encendido y energización correcta del POS</t>
        </is>
      </c>
      <c r="F7" s="22" t="inlineStr">
        <is>
          <t>POS conectado al puerto MDB correspondiente, máquina apagada antes de conectar</t>
        </is>
      </c>
      <c r="G7" s="22" t="inlineStr">
        <is>
          <t>1) Apagar máquina. 2) Conectar cable al puerto identificado como MDB. 3) Encender máquina. 4) Observar encendido del POS.</t>
        </is>
      </c>
      <c r="H7" s="22" t="inlineStr">
        <is>
          <t>El POS enciende y el lector de tarjetas queda activo</t>
        </is>
      </c>
      <c r="I7" s="22" t="inlineStr">
        <is>
          <t>Pendiente de confirmar</t>
        </is>
      </c>
      <c r="J7" s="22" t="inlineStr">
        <is>
          <t>Aprobado</t>
        </is>
      </c>
      <c r="K7" s="22" t="n"/>
      <c r="L7" s="22" t="inlineStr">
        <is>
          <t>Fila de ejemplo — reemplazar con datos reales</t>
        </is>
      </c>
      <c r="M7" s="22" t="inlineStr">
        <is>
          <t>Pendiente de confirmar</t>
        </is>
      </c>
      <c r="N7" s="22" t="n"/>
      <c r="O7" s="22" t="inlineStr">
        <is>
          <t>Pendiente de confirmar</t>
        </is>
      </c>
    </row>
    <row r="8" ht="51" customHeight="1">
      <c r="A8" s="22" t="inlineStr">
        <is>
          <t>MDB-002</t>
        </is>
      </c>
      <c r="B8" s="22" t="inlineStr">
        <is>
          <t>SES-002</t>
        </is>
      </c>
      <c r="C8" s="22" t="inlineStr">
        <is>
          <t>MDB</t>
        </is>
      </c>
      <c r="D8" s="22" t="inlineStr">
        <is>
          <t>Prueba ejecutada</t>
        </is>
      </c>
      <c r="E8" s="22" t="inlineStr">
        <is>
          <t>Verificar dirección Cashless configurada en el bus MDB</t>
        </is>
      </c>
      <c r="F8" s="22" t="inlineStr">
        <is>
          <t>POS energizado y comunicando en el bus MDB</t>
        </is>
      </c>
      <c r="G8" s="22" t="inlineStr">
        <is>
          <t>1) Conectar sniffer/herramienta de diagnóstico. 2) Capturar tráfico. 3) Identificar dirección reportada por el dispositivo.</t>
        </is>
      </c>
      <c r="H8" s="22" t="inlineStr">
        <is>
          <t>La dirección coincide con la documentada por el fabricante (no asumir 0x10 de fábrica)</t>
        </is>
      </c>
      <c r="I8" s="22" t="inlineStr">
        <is>
          <t>Pendiente de confirmar</t>
        </is>
      </c>
      <c r="J8" s="22" t="inlineStr">
        <is>
          <t>Aprobado</t>
        </is>
      </c>
      <c r="K8" s="22" t="n"/>
      <c r="L8" s="22" t="inlineStr">
        <is>
          <t>Fila de ejemplo — reemplazar con datos reales</t>
        </is>
      </c>
      <c r="M8" s="22" t="inlineStr">
        <is>
          <t>Pendiente de confirmar</t>
        </is>
      </c>
      <c r="N8" s="22" t="n"/>
      <c r="O8" s="22" t="inlineStr">
        <is>
          <t>Pendiente de confirmar</t>
        </is>
      </c>
    </row>
    <row r="9" ht="38.25" customHeight="1">
      <c r="A9" s="22" t="inlineStr">
        <is>
          <t>FIN-002</t>
        </is>
      </c>
      <c r="B9" s="22" t="inlineStr">
        <is>
          <t>SES-002</t>
        </is>
      </c>
      <c r="C9" s="22" t="inlineStr">
        <is>
          <t>Financiera</t>
        </is>
      </c>
      <c r="D9" s="22" t="inlineStr">
        <is>
          <t>Prueba ejecutada</t>
        </is>
      </c>
      <c r="E9" s="22" t="inlineStr">
        <is>
          <t>Verificar transacción autorizada de punta a punta</t>
        </is>
      </c>
      <c r="F9" s="22" t="inlineStr">
        <is>
          <t>Componente Financiera inicializado y conectividad confirmada</t>
        </is>
      </c>
      <c r="G9" s="22" t="inlineStr">
        <is>
          <t>1) Iniciar operación. 2) Autorizar pago de prueba. 3) Verificar código de respuesta.</t>
        </is>
      </c>
      <c r="H9" s="22" t="inlineStr">
        <is>
          <t>Transacción aprobada con código de respuesta esperado, sin afectar datos sensibles en evidencia</t>
        </is>
      </c>
      <c r="I9" s="22" t="inlineStr">
        <is>
          <t>Pendiente de confirmar</t>
        </is>
      </c>
      <c r="J9" s="22" t="inlineStr">
        <is>
          <t>Fallido</t>
        </is>
      </c>
      <c r="K9" s="22" t="n"/>
      <c r="L9" s="22" t="inlineStr">
        <is>
          <t>mdb_gateway_anonimizado</t>
        </is>
      </c>
      <c r="M9" s="22" t="inlineStr">
        <is>
          <t>Pendiente de confirmar</t>
        </is>
      </c>
      <c r="N9" s="22" t="n"/>
      <c r="O9" s="22" t="inlineStr">
        <is>
          <t>Pendiente de confirmar</t>
        </is>
      </c>
    </row>
    <row r="10" ht="38.25" customHeight="1">
      <c r="A10" s="22" t="inlineStr">
        <is>
          <t>AGP-002</t>
        </is>
      </c>
      <c r="B10" s="22" t="inlineStr">
        <is>
          <t>SES-002</t>
        </is>
      </c>
      <c r="C10" s="22" t="inlineStr">
        <is>
          <t>Agente Polaris</t>
        </is>
      </c>
      <c r="D10" s="22" t="inlineStr">
        <is>
          <t>Revisión documental</t>
        </is>
      </c>
      <c r="E10" s="22" t="inlineStr">
        <is>
          <t>Confirmar versión instalada del Agente Polaris</t>
        </is>
      </c>
      <c r="F10" s="22" t="inlineStr">
        <is>
          <t>Acceso al dispositivo donde se ejecuta el agente (pendiente de confirmar cuál)</t>
        </is>
      </c>
      <c r="G10" s="22" t="inlineStr">
        <is>
          <t>1) Consultar versión instalada. 2) Documentar.</t>
        </is>
      </c>
      <c r="H10" s="22" t="inlineStr">
        <is>
          <t>Versión documentada coincide con la versión esperada para la sesión</t>
        </is>
      </c>
      <c r="I10" s="22" t="inlineStr">
        <is>
          <t>Pendiente de confirmar</t>
        </is>
      </c>
      <c r="J10" s="22" t="inlineStr">
        <is>
          <t>No aplica</t>
        </is>
      </c>
      <c r="K10" s="22" t="n"/>
      <c r="L10" s="22" t="inlineStr">
        <is>
          <t>Fila de ejemplo — reemplazar con datos reales</t>
        </is>
      </c>
      <c r="M10" s="22" t="inlineStr">
        <is>
          <t>Pendiente de confirmar</t>
        </is>
      </c>
      <c r="N10" s="22" t="n"/>
      <c r="O10" s="22" t="inlineStr">
        <is>
          <t>Pendiente de confirmar</t>
        </is>
      </c>
    </row>
    <row r="11" ht="38.25" customHeight="1">
      <c r="A11" s="22" t="inlineStr">
        <is>
          <t>VEN-002</t>
        </is>
      </c>
      <c r="B11" s="22" t="inlineStr">
        <is>
          <t>SES-002</t>
        </is>
      </c>
      <c r="C11" s="22" t="inlineStr">
        <is>
          <t>Operación / Dispensación</t>
        </is>
      </c>
      <c r="D11" s="22" t="inlineStr">
        <is>
          <t>Prueba ejecutada</t>
        </is>
      </c>
      <c r="E11" s="22" t="inlineStr">
        <is>
          <t>Verificar consistencia entre aprobación financiera y dispensación física</t>
        </is>
      </c>
      <c r="F11" s="22" t="inlineStr">
        <is>
          <t>Producto seleccionado con precio definido, pago aprobado en caso FIN-001</t>
        </is>
      </c>
      <c r="G11" s="22" t="inlineStr">
        <is>
          <t>1) Seleccionar producto. 2) Pagar. 3) Verificar dispensación física del producto.</t>
        </is>
      </c>
      <c r="H11" s="22" t="inlineStr">
        <is>
          <t>El producto se dispensa únicamente cuando el pago fue aprobado; no hay duplicidad</t>
        </is>
      </c>
      <c r="I11" s="22" t="inlineStr">
        <is>
          <t>Pendiente de confirmar</t>
        </is>
      </c>
      <c r="J11" s="22" t="inlineStr">
        <is>
          <t>Pendiente</t>
        </is>
      </c>
      <c r="K11" s="22" t="n"/>
      <c r="L11" s="22" t="inlineStr">
        <is>
          <t>No se cuenta con energia</t>
        </is>
      </c>
      <c r="M11" s="22" t="inlineStr">
        <is>
          <t>Pendiente de confirmar</t>
        </is>
      </c>
      <c r="N11" s="22" t="n"/>
      <c r="O11" s="22" t="inlineStr">
        <is>
          <t>Pendiente de confirmar</t>
        </is>
      </c>
    </row>
    <row r="12" ht="51" customHeight="1">
      <c r="A12" s="22" t="inlineStr">
        <is>
          <t>POS-003</t>
        </is>
      </c>
      <c r="B12" s="22" t="inlineStr">
        <is>
          <t>SES-003</t>
        </is>
      </c>
      <c r="C12" s="22" t="inlineStr">
        <is>
          <t>POS NEW5320</t>
        </is>
      </c>
      <c r="D12" s="22" t="inlineStr">
        <is>
          <t>Prueba ejecutada</t>
        </is>
      </c>
      <c r="E12" s="22" t="inlineStr">
        <is>
          <t>Verificar encendido y energización correcta del POS</t>
        </is>
      </c>
      <c r="F12" s="22" t="inlineStr">
        <is>
          <t>POS conectado al puerto MDB correspondiente, máquina apagada antes de conectar</t>
        </is>
      </c>
      <c r="G12" s="22" t="inlineStr">
        <is>
          <t>1) Apagar máquina. 2) Conectar cable al puerto identificado como MDB. 3) Encender máquina. 4) Observar encendido del POS.</t>
        </is>
      </c>
      <c r="H12" s="22" t="inlineStr">
        <is>
          <t>El POS enciende y el lector de tarjetas queda activo</t>
        </is>
      </c>
      <c r="I12" s="22" t="inlineStr">
        <is>
          <t>Pendiente de confirmar</t>
        </is>
      </c>
      <c r="J12" s="22" t="inlineStr">
        <is>
          <t>Pendiente</t>
        </is>
      </c>
      <c r="K12" s="22" t="n"/>
      <c r="L12" s="22" t="inlineStr">
        <is>
          <t>No se cuenta con energia</t>
        </is>
      </c>
      <c r="M12" s="22" t="inlineStr">
        <is>
          <t>Pendiente de confirmar</t>
        </is>
      </c>
      <c r="N12" s="22" t="n"/>
      <c r="O12" s="22" t="inlineStr">
        <is>
          <t>Pendiente de confirmar</t>
        </is>
      </c>
    </row>
    <row r="13" ht="51" customHeight="1">
      <c r="A13" s="22" t="inlineStr">
        <is>
          <t>MDB-003</t>
        </is>
      </c>
      <c r="B13" s="22" t="inlineStr">
        <is>
          <t>SES-003</t>
        </is>
      </c>
      <c r="C13" s="22" t="inlineStr">
        <is>
          <t>MDB</t>
        </is>
      </c>
      <c r="D13" s="22" t="inlineStr">
        <is>
          <t>Prueba ejecutada</t>
        </is>
      </c>
      <c r="E13" s="22" t="inlineStr">
        <is>
          <t>Verificar dirección Cashless configurada en el bus MDB</t>
        </is>
      </c>
      <c r="F13" s="22" t="inlineStr">
        <is>
          <t>POS energizado y comunicando en el bus MDB</t>
        </is>
      </c>
      <c r="G13" s="22" t="inlineStr">
        <is>
          <t>1) Conectar sniffer/herramienta de diagnóstico. 2) Capturar tráfico. 3) Identificar dirección reportada por el dispositivo.</t>
        </is>
      </c>
      <c r="H13" s="22" t="inlineStr">
        <is>
          <t>La dirección coincide con la documentada por el fabricante (no asumir 0x10 de fábrica)</t>
        </is>
      </c>
      <c r="I13" s="22" t="inlineStr">
        <is>
          <t>Pendiente de confirmar</t>
        </is>
      </c>
      <c r="J13" s="22" t="inlineStr">
        <is>
          <t>Pendiente</t>
        </is>
      </c>
      <c r="K13" s="22" t="n"/>
      <c r="L13" s="22" t="inlineStr">
        <is>
          <t>No se cuenta con energia</t>
        </is>
      </c>
      <c r="M13" s="22" t="inlineStr">
        <is>
          <t>Pendiente de confirmar</t>
        </is>
      </c>
      <c r="N13" s="22" t="n"/>
      <c r="O13" s="22" t="inlineStr">
        <is>
          <t>Pendiente de confirmar</t>
        </is>
      </c>
    </row>
    <row r="14" ht="38.25" customHeight="1">
      <c r="A14" s="22" t="inlineStr">
        <is>
          <t>FIN-003</t>
        </is>
      </c>
      <c r="B14" s="22" t="inlineStr">
        <is>
          <t>SES-003</t>
        </is>
      </c>
      <c r="C14" s="22" t="inlineStr">
        <is>
          <t>Financiera</t>
        </is>
      </c>
      <c r="D14" s="22" t="inlineStr">
        <is>
          <t>Prueba ejecutada</t>
        </is>
      </c>
      <c r="E14" s="22" t="inlineStr">
        <is>
          <t>Verificar transacción autorizada de punta a punta</t>
        </is>
      </c>
      <c r="F14" s="22" t="inlineStr">
        <is>
          <t>Componente Financiera inicializado y conectividad confirmada</t>
        </is>
      </c>
      <c r="G14" s="22" t="inlineStr">
        <is>
          <t>1) Iniciar operación. 2) Autorizar pago de prueba. 3) Verificar código de respuesta.</t>
        </is>
      </c>
      <c r="H14" s="22" t="inlineStr">
        <is>
          <t>Transacción aprobada con código de respuesta esperado, sin afectar datos sensibles en evidencia</t>
        </is>
      </c>
      <c r="I14" s="22" t="inlineStr">
        <is>
          <t>Pendiente de confirmar</t>
        </is>
      </c>
      <c r="J14" s="22" t="inlineStr">
        <is>
          <t>Pendiente</t>
        </is>
      </c>
      <c r="K14" s="22" t="n"/>
      <c r="L14" s="22" t="inlineStr">
        <is>
          <t>No se cuenta con energia</t>
        </is>
      </c>
      <c r="M14" s="22" t="inlineStr">
        <is>
          <t>Pendiente de confirmar</t>
        </is>
      </c>
      <c r="N14" s="22" t="n"/>
      <c r="O14" s="22" t="inlineStr">
        <is>
          <t>Pendiente de confirmar</t>
        </is>
      </c>
    </row>
    <row r="15" ht="38.25" customHeight="1">
      <c r="A15" s="22" t="inlineStr">
        <is>
          <t>AGP-003</t>
        </is>
      </c>
      <c r="B15" s="22" t="inlineStr">
        <is>
          <t>SES-003</t>
        </is>
      </c>
      <c r="C15" s="22" t="inlineStr">
        <is>
          <t>Agente Polaris</t>
        </is>
      </c>
      <c r="D15" s="22" t="inlineStr">
        <is>
          <t>Revisión documental</t>
        </is>
      </c>
      <c r="E15" s="22" t="inlineStr">
        <is>
          <t>Confirmar versión instalada del Agente Polaris</t>
        </is>
      </c>
      <c r="F15" s="22" t="inlineStr">
        <is>
          <t>Acceso al dispositivo donde se ejecuta el agente (pendiente de confirmar cuál)</t>
        </is>
      </c>
      <c r="G15" s="22" t="inlineStr">
        <is>
          <t>1) Consultar versión instalada. 2) Documentar.</t>
        </is>
      </c>
      <c r="H15" s="22" t="inlineStr">
        <is>
          <t>Versión documentada coincide con la versión esperada para la sesión</t>
        </is>
      </c>
      <c r="I15" s="22" t="inlineStr">
        <is>
          <t>Pendiente de confirmar</t>
        </is>
      </c>
      <c r="J15" s="22" t="inlineStr">
        <is>
          <t>Pendiente</t>
        </is>
      </c>
      <c r="K15" s="22" t="n"/>
      <c r="L15" s="22" t="inlineStr">
        <is>
          <t>No se cuenta con energia</t>
        </is>
      </c>
      <c r="M15" s="22" t="inlineStr">
        <is>
          <t>Pendiente de confirmar</t>
        </is>
      </c>
      <c r="N15" s="22" t="n"/>
      <c r="O15" s="22" t="inlineStr">
        <is>
          <t>Pendiente de confirmar</t>
        </is>
      </c>
    </row>
    <row r="16" ht="38.25" customHeight="1">
      <c r="A16" s="22" t="inlineStr">
        <is>
          <t>VEN-003</t>
        </is>
      </c>
      <c r="B16" s="22" t="inlineStr">
        <is>
          <t>SES-003</t>
        </is>
      </c>
      <c r="C16" s="22" t="inlineStr">
        <is>
          <t>Operación / Dispensación</t>
        </is>
      </c>
      <c r="D16" s="22" t="inlineStr">
        <is>
          <t>Prueba ejecutada</t>
        </is>
      </c>
      <c r="E16" s="22" t="inlineStr">
        <is>
          <t>Verificar consistencia entre aprobación financiera y dispensación física</t>
        </is>
      </c>
      <c r="F16" s="22" t="inlineStr">
        <is>
          <t>Producto seleccionado con precio definido, pago aprobado en caso FIN-001</t>
        </is>
      </c>
      <c r="G16" s="22" t="inlineStr">
        <is>
          <t>1) Seleccionar producto. 2) Pagar. 3) Verificar dispensación física del producto.</t>
        </is>
      </c>
      <c r="H16" s="22" t="inlineStr">
        <is>
          <t>El producto se dispensa únicamente cuando el pago fue aprobado; no hay duplicidad</t>
        </is>
      </c>
      <c r="I16" s="22" t="inlineStr">
        <is>
          <t>Pendiente de confirmar</t>
        </is>
      </c>
      <c r="J16" s="22" t="inlineStr">
        <is>
          <t>Pendiente</t>
        </is>
      </c>
      <c r="K16" s="22" t="n"/>
      <c r="L16" s="22" t="inlineStr">
        <is>
          <t>No se cuenta con energia</t>
        </is>
      </c>
      <c r="M16" s="22" t="inlineStr">
        <is>
          <t>Pendiente de confirmar</t>
        </is>
      </c>
      <c r="N16" s="22" t="n"/>
      <c r="O16" s="22" t="inlineStr">
        <is>
          <t>Pendiente de confirmar</t>
        </is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zoomScaleNormal="100" workbookViewId="0">
      <pane ySplit="1" topLeftCell="A2" activePane="bottomLeft" state="frozen"/>
      <selection pane="bottomLeft" activeCell="N4" sqref="N4"/>
    </sheetView>
  </sheetViews>
  <sheetFormatPr baseColWidth="10" defaultColWidth="8.7109375" defaultRowHeight="15"/>
  <cols>
    <col width="10" customWidth="1" min="1" max="1"/>
    <col width="12" customWidth="1" min="2" max="2"/>
    <col width="10" customWidth="1" min="3" max="3"/>
    <col width="18" customWidth="1" min="4" max="4"/>
    <col width="28" customWidth="1" min="5" max="5"/>
    <col width="26" customWidth="1" min="6" max="6"/>
    <col width="22" customWidth="1" min="7" max="8"/>
    <col width="14" customWidth="1" min="9" max="9"/>
    <col width="18" customWidth="1" min="10" max="10"/>
    <col width="14" customWidth="1" min="11" max="11"/>
    <col width="12" customWidth="1" min="12" max="12"/>
    <col width="20" customWidth="1" min="13" max="13"/>
    <col width="12" customWidth="1" min="14" max="14"/>
    <col width="20" customWidth="1" min="15" max="15"/>
  </cols>
  <sheetData>
    <row r="1" ht="30" customHeight="1">
      <c r="A1" s="8" t="inlineStr">
        <is>
          <t>ID</t>
        </is>
      </c>
      <c r="B1" s="8" t="inlineStr">
        <is>
          <t>Fecha</t>
        </is>
      </c>
      <c r="C1" s="8" t="inlineStr">
        <is>
          <t>Sesión ID</t>
        </is>
      </c>
      <c r="D1" s="8" t="inlineStr">
        <is>
          <t>Componente y versión</t>
        </is>
      </c>
      <c r="E1" s="8" t="inlineStr">
        <is>
          <t>Descripción</t>
        </is>
      </c>
      <c r="F1" s="8" t="inlineStr">
        <is>
          <t>Pasos para reproducir</t>
        </is>
      </c>
      <c r="G1" s="8" t="inlineStr">
        <is>
          <t>Resultado esperado</t>
        </is>
      </c>
      <c r="H1" s="8" t="inlineStr">
        <is>
          <t>Resultado obtenido</t>
        </is>
      </c>
      <c r="I1" s="8" t="inlineStr">
        <is>
          <t>Severidad / Prioridad</t>
        </is>
      </c>
      <c r="J1" s="8" t="inlineStr">
        <is>
          <t>Evidencia</t>
        </is>
      </c>
      <c r="K1" s="8" t="inlineStr">
        <is>
          <t>Responsable</t>
        </is>
      </c>
      <c r="L1" s="8" t="inlineStr">
        <is>
          <t>Ticket</t>
        </is>
      </c>
      <c r="M1" s="8" t="inlineStr">
        <is>
          <t>Siguiente acción</t>
        </is>
      </c>
      <c r="N1" s="8" t="inlineStr">
        <is>
          <t>Estado</t>
        </is>
      </c>
      <c r="O1" s="8" t="inlineStr">
        <is>
          <t>Resultado de la reprueba</t>
        </is>
      </c>
    </row>
    <row r="2" ht="38.25" customHeight="1">
      <c r="A2" s="9" t="inlineStr">
        <is>
          <t>INC-001</t>
        </is>
      </c>
      <c r="B2" s="9" t="inlineStr">
        <is>
          <t>2026-10-26</t>
        </is>
      </c>
      <c r="C2" s="9" t="inlineStr">
        <is>
          <t>SES-001</t>
        </is>
      </c>
      <c r="D2" s="9" t="inlineStr">
        <is>
          <t>Pendiente de confirmar</t>
        </is>
      </c>
      <c r="E2" s="9" t="inlineStr">
        <is>
          <t>Fila de ejemplo — reemplazar con la descripción real del hallazgo</t>
        </is>
      </c>
      <c r="F2" s="9" t="inlineStr">
        <is>
          <t>Pendiente de confirmar</t>
        </is>
      </c>
      <c r="G2" s="9" t="inlineStr">
        <is>
          <t>Pendiente de confirmar</t>
        </is>
      </c>
      <c r="H2" s="9" t="inlineStr">
        <is>
          <t>Pendiente de confirmar</t>
        </is>
      </c>
      <c r="I2" s="9" t="inlineStr">
        <is>
          <t>Media</t>
        </is>
      </c>
      <c r="J2" s="9" t="n"/>
      <c r="K2" s="9" t="inlineStr">
        <is>
          <t>Pendiente de confirmar</t>
        </is>
      </c>
      <c r="L2" s="9" t="n"/>
      <c r="M2" s="9" t="inlineStr">
        <is>
          <t>Pendiente de confirmar</t>
        </is>
      </c>
      <c r="N2" s="9" t="inlineStr">
        <is>
          <t>Abierto</t>
        </is>
      </c>
      <c r="O2" s="9" t="n"/>
    </row>
    <row r="3" ht="38.25" customHeight="1">
      <c r="A3" s="9" t="inlineStr">
        <is>
          <t>INC-002</t>
        </is>
      </c>
      <c r="B3" s="9" t="inlineStr">
        <is>
          <t>2026-10-26</t>
        </is>
      </c>
      <c r="C3" s="9" t="inlineStr">
        <is>
          <t>SES-002</t>
        </is>
      </c>
      <c r="D3" s="9" t="inlineStr">
        <is>
          <t>Pendiente de confirmar</t>
        </is>
      </c>
      <c r="E3" s="9" t="inlineStr">
        <is>
          <t>Fila de ejemplo — reemplazar con la descripción real del hallazgo</t>
        </is>
      </c>
      <c r="F3" s="9" t="inlineStr">
        <is>
          <t>Pendiente de confirmar</t>
        </is>
      </c>
      <c r="G3" s="9" t="inlineStr">
        <is>
          <t>Pendiente de confirmar</t>
        </is>
      </c>
      <c r="H3" s="9" t="inlineStr">
        <is>
          <t>Pendiente de confirmar</t>
        </is>
      </c>
      <c r="I3" s="9" t="inlineStr">
        <is>
          <t>Media</t>
        </is>
      </c>
      <c r="J3" s="9" t="n"/>
      <c r="K3" s="9" t="inlineStr">
        <is>
          <t>Pendiente de confirmar</t>
        </is>
      </c>
      <c r="L3" s="9" t="n"/>
      <c r="M3" s="9" t="inlineStr">
        <is>
          <t>Pendiente de confirmar</t>
        </is>
      </c>
      <c r="N3" s="9" t="inlineStr">
        <is>
          <t>Abierto</t>
        </is>
      </c>
      <c r="O3" s="9" t="n"/>
    </row>
    <row r="4" ht="38.25" customHeight="1">
      <c r="A4" s="9" t="inlineStr">
        <is>
          <t>INC-003</t>
        </is>
      </c>
      <c r="B4" s="9" t="inlineStr">
        <is>
          <t>2026-10-26</t>
        </is>
      </c>
      <c r="C4" s="9" t="inlineStr">
        <is>
          <t>SES-003</t>
        </is>
      </c>
      <c r="D4" s="9" t="inlineStr">
        <is>
          <t>Pendiente de confirmar</t>
        </is>
      </c>
      <c r="E4" s="9" t="inlineStr">
        <is>
          <t>Fila de ejemplo — reemplazar con la descripción real del hallazgo</t>
        </is>
      </c>
      <c r="F4" s="9" t="inlineStr">
        <is>
          <t>Pendiente de confirmar</t>
        </is>
      </c>
      <c r="G4" s="9" t="inlineStr">
        <is>
          <t>Pendiente de confirmar</t>
        </is>
      </c>
      <c r="H4" s="9" t="inlineStr">
        <is>
          <t>Pendiente de confirmar</t>
        </is>
      </c>
      <c r="I4" s="9" t="inlineStr">
        <is>
          <t>Media</t>
        </is>
      </c>
      <c r="J4" s="9" t="n"/>
      <c r="K4" s="9" t="inlineStr">
        <is>
          <t>Pendiente de confirmar</t>
        </is>
      </c>
      <c r="L4" s="9" t="n"/>
      <c r="M4" s="9" t="inlineStr">
        <is>
          <t>Pendiente de confirmar</t>
        </is>
      </c>
      <c r="N4" s="9" t="inlineStr">
        <is>
          <t>Abierto</t>
        </is>
      </c>
      <c r="O4" s="9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tabSelected="1" zoomScaleNormal="100"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AC8" sqref="AC8"/>
    </sheetView>
  </sheetViews>
  <sheetFormatPr baseColWidth="10" defaultColWidth="8.7109375" defaultRowHeight="15"/>
  <cols>
    <col width="9.5703125" bestFit="1" customWidth="1" min="1" max="1"/>
    <col width="9.42578125" bestFit="1" customWidth="1" min="2" max="2"/>
    <col outlineLevel="1" width="11.7109375" bestFit="1" customWidth="1" min="3" max="3"/>
    <col outlineLevel="1" width="11.85546875" bestFit="1" customWidth="1" min="4" max="7"/>
    <col outlineLevel="1" width="12.28515625" bestFit="1" customWidth="1" min="8" max="8"/>
    <col outlineLevel="1" width="11.85546875" bestFit="1" customWidth="1" min="9" max="14"/>
    <col outlineLevel="1" width="14.28515625" bestFit="1" customWidth="1" min="15" max="15"/>
    <col outlineLevel="1" width="12.85546875" bestFit="1" customWidth="1" min="16" max="16"/>
    <col outlineLevel="1" width="15.42578125" bestFit="1" customWidth="1" min="17" max="17"/>
    <col outlineLevel="1" width="17.5703125" bestFit="1" customWidth="1" min="18" max="18"/>
    <col width="12" bestFit="1" customWidth="1" min="19" max="19"/>
    <col width="10.85546875" bestFit="1" customWidth="1" min="20" max="20"/>
    <col width="9.85546875" bestFit="1" customWidth="1" min="21" max="21"/>
    <col width="8.140625" bestFit="1" customWidth="1" min="22" max="22"/>
    <col width="9.7109375" bestFit="1" customWidth="1" min="23" max="23"/>
    <col width="9.140625" bestFit="1" customWidth="1" min="24" max="24"/>
    <col width="10.42578125" bestFit="1" customWidth="1" min="25" max="25"/>
    <col width="19.28515625" bestFit="1" customWidth="1" min="26" max="26"/>
    <col width="32.5703125" bestFit="1" customWidth="1" min="27" max="27"/>
    <col width="14.140625" bestFit="1" customWidth="1" min="28" max="28"/>
    <col width="16.140625" bestFit="1" customWidth="1" min="29" max="29"/>
    <col width="86" customWidth="1" style="21" min="30" max="30"/>
  </cols>
  <sheetData>
    <row r="1" ht="25.5" customHeight="1">
      <c r="A1" s="8" t="inlineStr">
        <is>
          <t>Sesión ID</t>
        </is>
      </c>
      <c r="B1" s="8" t="inlineStr">
        <is>
          <t>Fecha de cierre</t>
        </is>
      </c>
      <c r="C1" s="8" t="inlineStr">
        <is>
          <t>Fecha de la visita</t>
        </is>
      </c>
      <c r="D1" s="8" t="inlineStr">
        <is>
          <t>Cliente / Comercio</t>
        </is>
      </c>
      <c r="E1" s="8" t="inlineStr">
        <is>
          <t>Fabricante máquina</t>
        </is>
      </c>
      <c r="F1" s="8" t="inlineStr">
        <is>
          <t>Modelo máquina</t>
        </is>
      </c>
      <c r="G1" s="8" t="inlineStr">
        <is>
          <t>Serial máquina</t>
        </is>
      </c>
      <c r="H1" s="8" t="inlineStr">
        <is>
          <t>Modelo POS</t>
        </is>
      </c>
      <c r="I1" s="8" t="inlineStr">
        <is>
          <t>Serial POS</t>
        </is>
      </c>
      <c r="J1" s="8" t="inlineStr">
        <is>
          <t>Firmware NEW5320</t>
        </is>
      </c>
      <c r="K1" s="8" t="inlineStr">
        <is>
          <t>MDB — Estándar</t>
        </is>
      </c>
      <c r="L1" s="8" t="inlineStr">
        <is>
          <t>MDB — Versión</t>
        </is>
      </c>
      <c r="M1" s="8" t="inlineStr">
        <is>
          <t>MDB — Módulo</t>
        </is>
      </c>
      <c r="N1" s="8" t="inlineStr">
        <is>
          <t>Versión Financiera</t>
        </is>
      </c>
      <c r="O1" s="8" t="inlineStr">
        <is>
          <t>Versión Agente Polaris</t>
        </is>
      </c>
      <c r="P1" s="8" t="inlineStr">
        <is>
          <t>Participantes</t>
        </is>
      </c>
      <c r="Q1" s="8" t="inlineStr">
        <is>
          <t>Responsable de la sesión</t>
        </is>
      </c>
      <c r="R1" s="8" t="inlineStr">
        <is>
          <t>Objetivo de la sesión</t>
        </is>
      </c>
      <c r="S1" s="8" t="inlineStr">
        <is>
          <t>Total planificadas</t>
        </is>
      </c>
      <c r="T1" s="8" t="inlineStr">
        <is>
          <t>Total ejecutadas</t>
        </is>
      </c>
      <c r="U1" s="8" t="inlineStr">
        <is>
          <t>Aprobadas</t>
        </is>
      </c>
      <c r="V1" s="8" t="inlineStr">
        <is>
          <t>Fallidas</t>
        </is>
      </c>
      <c r="W1" s="8" t="inlineStr">
        <is>
          <t>Bloqueadas</t>
        </is>
      </c>
      <c r="X1" s="8" t="inlineStr">
        <is>
          <t>Pendientes</t>
        </is>
      </c>
      <c r="Y1" s="8" t="inlineStr">
        <is>
          <t>Incidencias abiertas</t>
        </is>
      </c>
      <c r="Z1" s="8" t="inlineStr">
        <is>
          <t>Versiones y equipos cubiertos</t>
        </is>
      </c>
      <c r="AA1" s="8" t="inlineStr">
        <is>
          <t>Pendientes (Fabricante/Desarrollo/QA/Cliente)</t>
        </is>
      </c>
      <c r="AB1" s="8" t="inlineStr">
        <is>
          <t>Concepto final</t>
        </is>
      </c>
      <c r="AC1" s="8" t="inlineStr">
        <is>
          <t>Responsable del cierre</t>
        </is>
      </c>
      <c r="AD1" s="20" t="inlineStr">
        <is>
          <t>Resumen para correo</t>
        </is>
      </c>
    </row>
    <row r="2" ht="29.25" customFormat="1" customHeight="1" s="16">
      <c r="A2" s="15" t="inlineStr">
        <is>
          <t>SES-001</t>
        </is>
      </c>
      <c r="B2" s="15" t="n"/>
      <c r="C2" s="11">
        <f>IF(A2="","",IFERROR(INDEX('Identificación y Versiones'!$B:$B,MATCH(A2,'Identificación y Versiones'!$A:$A,0)),""))</f>
        <v/>
      </c>
      <c r="D2" s="11">
        <f>IF(A2="","",IFERROR(INDEX('Identificación y Versiones'!$F:$F,MATCH(A2,'Identificación y Versiones'!$A:$A,0)),""))</f>
        <v/>
      </c>
      <c r="E2" s="11">
        <f>IF(A2="","",IFERROR(INDEX('Identificación y Versiones'!$G:$G,MATCH(A2,'Identificación y Versiones'!$A:$A,0)),""))</f>
        <v/>
      </c>
      <c r="F2" s="11">
        <f>IF(A2="","",IFERROR(INDEX('Identificación y Versiones'!$H:$H,MATCH(A2,'Identificación y Versiones'!$A:$A,0)),""))</f>
        <v/>
      </c>
      <c r="G2" s="11">
        <f>IF(A2="","",IFERROR(INDEX('Identificación y Versiones'!$I:$I,MATCH(A2,'Identificación y Versiones'!$A:$A,0)),""))</f>
        <v/>
      </c>
      <c r="H2" s="11">
        <f>IF(A2="","",IFERROR(INDEX('Identificación y Versiones'!$J:$J,MATCH(A2,'Identificación y Versiones'!$A:$A,0)),""))</f>
        <v/>
      </c>
      <c r="I2" s="11">
        <f>IF(A2="","",IFERROR(INDEX('Identificación y Versiones'!$K:$K,MATCH(A2,'Identificación y Versiones'!$A:$A,0)),""))</f>
        <v/>
      </c>
      <c r="J2" s="11">
        <f>IF(A2="","",IFERROR(INDEX('Identificación y Versiones'!$N:$N,MATCH(A2,'Identificación y Versiones'!$A:$A,0)),""))</f>
        <v/>
      </c>
      <c r="K2" s="11">
        <f>IF(A2="","",IFERROR(INDEX('Identificación y Versiones'!$O:$O,MATCH(A2,'Identificación y Versiones'!$A:$A,0)),""))</f>
        <v/>
      </c>
      <c r="L2" s="11">
        <f>IF(A2="","",IFERROR(INDEX('Identificación y Versiones'!$P:$P,MATCH(A2,'Identificación y Versiones'!$A:$A,0)),""))</f>
        <v/>
      </c>
      <c r="M2" s="11">
        <f>IF(A2="","",IFERROR(INDEX('Identificación y Versiones'!$Q:$Q,MATCH(A2,'Identificación y Versiones'!$A:$A,0)),""))</f>
        <v/>
      </c>
      <c r="N2" s="11">
        <f>IF(A2="","",IFERROR(INDEX('Identificación y Versiones'!$R:$R,MATCH(A2,'Identificación y Versiones'!$A:$A,0)),""))</f>
        <v/>
      </c>
      <c r="O2" s="11">
        <f>IF(A2="","",IFERROR(INDEX('Identificación y Versiones'!$S:$S,MATCH(A2,'Identificación y Versiones'!$A:$A,0)),""))</f>
        <v/>
      </c>
      <c r="P2" s="11">
        <f>IF(A2="","",IFERROR(INDEX('Identificación y Versiones'!$E:$E,MATCH(A2,'Identificación y Versiones'!$A:$A,0)),""))</f>
        <v/>
      </c>
      <c r="Q2" s="11">
        <f>IF(A2="","",IFERROR(INDEX('Identificación y Versiones'!$D:$D,MATCH(A2,'Identificación y Versiones'!$A:$A,0)),""))</f>
        <v/>
      </c>
      <c r="R2" s="11">
        <f>IF(A2="","",IFERROR(INDEX('Identificación y Versiones'!$L:$L,MATCH(A2,'Identificación y Versiones'!$A:$A,0)),""))</f>
        <v/>
      </c>
      <c r="S2" s="11">
        <f>IF(A2="","",COUNTIF('Casos de Prueba'!$B$2:$B$1000,A2))</f>
        <v/>
      </c>
      <c r="T2" s="11">
        <f>IF(A2="","",COUNTIFS('Casos de Prueba'!$B$2:$B$1000,A2,'Casos de Prueba'!$J$2:$J$1000,"&lt;&gt;Pendiente",'Casos de Prueba'!$J$2:$J$1000,"&lt;&gt;"))</f>
        <v/>
      </c>
      <c r="U2" s="11">
        <f>IF(A2="","",COUNTIFS('Casos de Prueba'!$B$2:$B$1000,A2,'Casos de Prueba'!$J$2:$J$1000,"Aprobado"))</f>
        <v/>
      </c>
      <c r="V2" s="11">
        <f>IF(A2="","",COUNTIFS('Casos de Prueba'!$B$2:$B$1000,A2,'Casos de Prueba'!$J$2:$J$1000,"Fallido"))</f>
        <v/>
      </c>
      <c r="W2" s="11">
        <f>IF(A2="","",COUNTIFS('Casos de Prueba'!$B$2:$B$1000,A2,'Casos de Prueba'!$J$2:$J$1000,"Bloqueado"))</f>
        <v/>
      </c>
      <c r="X2" s="11">
        <f>IF(A2="","",COUNTIFS('Casos de Prueba'!$B$2:$B$1000,A2,'Casos de Prueba'!$J$2:$J$1000,"Pendiente"))</f>
        <v/>
      </c>
      <c r="Y2" s="11">
        <f>IF(A2="","",COUNTIFS(Incidencias!$C$2:$C$1000,A2,Incidencias!$N$2:$N$1000,"&lt;&gt;Cerrado")-COUNTIFS(Incidencias!$C$2:$C$1000,A2,Incidencias!$N$2:$N$1000,""))</f>
        <v/>
      </c>
      <c r="Z2" s="15" t="n"/>
      <c r="AA2" s="15" t="n"/>
      <c r="AB2" s="15" t="n"/>
      <c r="AC2" s="15" t="n"/>
      <c r="AD2" s="13">
        <f>IF(A2="","","Resumen de visita — Sesión "&amp;A2&amp;CHAR(10)&amp;"Fecha de la visita: "&amp;C2&amp;CHAR(10)&amp;"Cliente / Comercio: "&amp;D2&amp;CHAR(10)&amp;"Máquina: "&amp;E2&amp;" "&amp;F2&amp;" (Serial: "&amp;G2&amp;")"&amp;CHAR(10)&amp;"POS: "&amp;H2&amp;" (Serial: "&amp;I2&amp;") — Firmware: "&amp;J2&amp;CHAR(10)&amp;"MDB: "&amp;K2&amp;" / "&amp;L2&amp;" / "&amp;M2&amp;CHAR(10)&amp;"Financiera: "&amp;N2&amp;"  |  Agente Polaris: "&amp;O2&amp;CHAR(10)&amp;"Participantes: "&amp;P2&amp;" (Responsable: "&amp;Q2&amp;")"&amp;CHAR(10)&amp;"Objetivo: "&amp;R2&amp;CHAR(10)&amp;CHAR(10)&amp;"Resultado de pruebas: "&amp;T2&amp;"/"&amp;S2&amp;" ejecutadas — Aprobadas: "&amp;U2&amp;", Fallidas: "&amp;V2&amp;", Bloqueadas: "&amp;W2&amp;", Pendientes: "&amp;X2&amp;CHAR(10)&amp;"Incidencias abiertas: "&amp;Y2&amp;CHAR(10)&amp;CHAR(10)&amp;"Concepto final: "&amp;AB2&amp;CHAR(10)&amp;"Pendientes: "&amp;AA2)</f>
        <v/>
      </c>
    </row>
    <row r="3" ht="33" customHeight="1">
      <c r="A3" s="15" t="inlineStr">
        <is>
          <t>SES-002</t>
        </is>
      </c>
      <c r="B3" s="15" t="n"/>
      <c r="C3" s="11">
        <f>IF(A3="","",IFERROR(INDEX('Identificación y Versiones'!$B:$B,MATCH(A3,'Identificación y Versiones'!$A:$A,0)),""))</f>
        <v/>
      </c>
      <c r="D3" s="11">
        <f>IF(A3="","",IFERROR(INDEX('Identificación y Versiones'!$F:$F,MATCH(A3,'Identificación y Versiones'!$A:$A,0)),""))</f>
        <v/>
      </c>
      <c r="E3" s="11">
        <f>IF(A3="","",IFERROR(INDEX('Identificación y Versiones'!$G:$G,MATCH(A3,'Identificación y Versiones'!$A:$A,0)),""))</f>
        <v/>
      </c>
      <c r="F3" s="11">
        <f>IF(A3="","",IFERROR(INDEX('Identificación y Versiones'!$H:$H,MATCH(A3,'Identificación y Versiones'!$A:$A,0)),""))</f>
        <v/>
      </c>
      <c r="G3" s="11">
        <f>IF(A3="","",IFERROR(INDEX('Identificación y Versiones'!$I:$I,MATCH(A3,'Identificación y Versiones'!$A:$A,0)),""))</f>
        <v/>
      </c>
      <c r="H3" s="11">
        <f>IF(A3="","",IFERROR(INDEX('Identificación y Versiones'!$J:$J,MATCH(A3,'Identificación y Versiones'!$A:$A,0)),""))</f>
        <v/>
      </c>
      <c r="I3" s="11">
        <f>IF(A3="","",IFERROR(INDEX('Identificación y Versiones'!$K:$K,MATCH(A3,'Identificación y Versiones'!$A:$A,0)),""))</f>
        <v/>
      </c>
      <c r="J3" s="11">
        <f>IF(A3="","",IFERROR(INDEX('Identificación y Versiones'!$N:$N,MATCH(A3,'Identificación y Versiones'!$A:$A,0)),""))</f>
        <v/>
      </c>
      <c r="K3" s="11">
        <f>IF(A3="","",IFERROR(INDEX('Identificación y Versiones'!$O:$O,MATCH(A3,'Identificación y Versiones'!$A:$A,0)),""))</f>
        <v/>
      </c>
      <c r="L3" s="11">
        <f>IF(A3="","",IFERROR(INDEX('Identificación y Versiones'!$P:$P,MATCH(A3,'Identificación y Versiones'!$A:$A,0)),""))</f>
        <v/>
      </c>
      <c r="M3" s="11">
        <f>IF(A3="","",IFERROR(INDEX('Identificación y Versiones'!$Q:$Q,MATCH(A3,'Identificación y Versiones'!$A:$A,0)),""))</f>
        <v/>
      </c>
      <c r="N3" s="11">
        <f>IF(A3="","",IFERROR(INDEX('Identificación y Versiones'!$R:$R,MATCH(A3,'Identificación y Versiones'!$A:$A,0)),""))</f>
        <v/>
      </c>
      <c r="O3" s="11">
        <f>IF(A3="","",IFERROR(INDEX('Identificación y Versiones'!$S:$S,MATCH(A3,'Identificación y Versiones'!$A:$A,0)),""))</f>
        <v/>
      </c>
      <c r="P3" s="11">
        <f>IF(A3="","",IFERROR(INDEX('Identificación y Versiones'!$E:$E,MATCH(A3,'Identificación y Versiones'!$A:$A,0)),""))</f>
        <v/>
      </c>
      <c r="Q3" s="11">
        <f>IF(A3="","",IFERROR(INDEX('Identificación y Versiones'!$D:$D,MATCH(A3,'Identificación y Versiones'!$A:$A,0)),""))</f>
        <v/>
      </c>
      <c r="R3" s="11">
        <f>IF(A3="","",IFERROR(INDEX('Identificación y Versiones'!$L:$L,MATCH(A3,'Identificación y Versiones'!$A:$A,0)),""))</f>
        <v/>
      </c>
      <c r="S3" s="11">
        <f>IF(A3="","",COUNTIF('Casos de Prueba'!$B$2:$B$1000,A3))</f>
        <v/>
      </c>
      <c r="T3" s="11">
        <f>IF(A3="","",COUNTIFS('Casos de Prueba'!$B$2:$B$1000,A3,'Casos de Prueba'!$J$2:$J$1000,"&lt;&gt;Pendiente",'Casos de Prueba'!$J$2:$J$1000,"&lt;&gt;"))</f>
        <v/>
      </c>
      <c r="U3" s="11">
        <f>IF(A3="","",COUNTIFS('Casos de Prueba'!$B$2:$B$1000,A3,'Casos de Prueba'!$J$2:$J$1000,"Aprobado"))</f>
        <v/>
      </c>
      <c r="V3" s="11">
        <f>IF(A3="","",COUNTIFS('Casos de Prueba'!$B$2:$B$1000,A3,'Casos de Prueba'!$J$2:$J$1000,"Fallido"))</f>
        <v/>
      </c>
      <c r="W3" s="11">
        <f>IF(A3="","",COUNTIFS('Casos de Prueba'!$B$2:$B$1000,A3,'Casos de Prueba'!$J$2:$J$1000,"Bloqueado"))</f>
        <v/>
      </c>
      <c r="X3" s="11">
        <f>IF(A3="","",COUNTIFS('Casos de Prueba'!$B$2:$B$1000,A3,'Casos de Prueba'!$J$2:$J$1000,"Pendiente"))</f>
        <v/>
      </c>
      <c r="Y3" s="11">
        <f>IF(A3="","",COUNTIFS(Incidencias!$C$2:$C$1000,A3,Incidencias!$N$2:$N$1000,"&lt;&gt;Cerrado")-COUNTIFS(Incidencias!$C$2:$C$1000,A3,Incidencias!$N$2:$N$1000,""))</f>
        <v/>
      </c>
      <c r="Z3" s="15" t="n"/>
      <c r="AA3" s="15" t="n"/>
      <c r="AB3" s="15" t="n"/>
      <c r="AC3" s="15" t="n"/>
      <c r="AD3" s="13">
        <f>IF(A3="","","Resumen de visita — Sesión "&amp;A3&amp;CHAR(10)&amp;"Fecha de la visita: "&amp;C3&amp;CHAR(10)&amp;"Cliente / Comercio: "&amp;D3&amp;CHAR(10)&amp;"Máquina: "&amp;E3&amp;" "&amp;F3&amp;" (Serial: "&amp;G3&amp;")"&amp;CHAR(10)&amp;"POS: "&amp;H3&amp;" (Serial: "&amp;I3&amp;") — Firmware: "&amp;J3&amp;CHAR(10)&amp;"MDB: "&amp;K3&amp;" / "&amp;L3&amp;" / "&amp;M3&amp;CHAR(10)&amp;"Financiera: "&amp;N3&amp;"  |  Agente Polaris: "&amp;O3&amp;CHAR(10)&amp;"Participantes: "&amp;P3&amp;" (Responsable: "&amp;Q3&amp;")"&amp;CHAR(10)&amp;"Objetivo: "&amp;R3&amp;CHAR(10)&amp;CHAR(10)&amp;"Resultado de pruebas: "&amp;T3&amp;"/"&amp;S3&amp;" ejecutadas — Aprobadas: "&amp;U3&amp;", Fallidas: "&amp;V3&amp;", Bloqueadas: "&amp;W3&amp;", Pendientes: "&amp;X3&amp;CHAR(10)&amp;"Incidencias abiertas: "&amp;Y3&amp;CHAR(10)&amp;CHAR(10)&amp;"Concepto final: "&amp;AB3&amp;CHAR(10)&amp;"Pendientes: "&amp;AA3)</f>
        <v/>
      </c>
    </row>
    <row r="4" ht="258" customHeight="1">
      <c r="A4" s="15" t="inlineStr">
        <is>
          <t>SES-003</t>
        </is>
      </c>
      <c r="B4" s="15" t="n"/>
      <c r="C4" s="11">
        <f>IF(A4="","",IFERROR(INDEX('Identificación y Versiones'!$B:$B,MATCH(A4,'Identificación y Versiones'!$A:$A,0)),""))</f>
        <v/>
      </c>
      <c r="D4" s="11">
        <f>IF(A4="","",IFERROR(INDEX('Identificación y Versiones'!$F:$F,MATCH(A4,'Identificación y Versiones'!$A:$A,0)),""))</f>
        <v/>
      </c>
      <c r="E4" s="11">
        <f>IF(A4="","",IFERROR(INDEX('Identificación y Versiones'!$G:$G,MATCH(A4,'Identificación y Versiones'!$A:$A,0)),""))</f>
        <v/>
      </c>
      <c r="F4" s="11">
        <f>IF(A4="","",IFERROR(INDEX('Identificación y Versiones'!$H:$H,MATCH(A4,'Identificación y Versiones'!$A:$A,0)),""))</f>
        <v/>
      </c>
      <c r="G4" s="11">
        <f>IF(A4="","",IFERROR(INDEX('Identificación y Versiones'!$I:$I,MATCH(A4,'Identificación y Versiones'!$A:$A,0)),""))</f>
        <v/>
      </c>
      <c r="H4" s="11">
        <f>IF(A4="","",IFERROR(INDEX('Identificación y Versiones'!$J:$J,MATCH(A4,'Identificación y Versiones'!$A:$A,0)),""))</f>
        <v/>
      </c>
      <c r="I4" s="11">
        <f>IF(A4="","",IFERROR(INDEX('Identificación y Versiones'!$K:$K,MATCH(A4,'Identificación y Versiones'!$A:$A,0)),""))</f>
        <v/>
      </c>
      <c r="J4" s="11">
        <f>IF(A4="","",IFERROR(INDEX('Identificación y Versiones'!$N:$N,MATCH(A4,'Identificación y Versiones'!$A:$A,0)),""))</f>
        <v/>
      </c>
      <c r="K4" s="11">
        <f>IF(A4="","",IFERROR(INDEX('Identificación y Versiones'!$O:$O,MATCH(A4,'Identificación y Versiones'!$A:$A,0)),""))</f>
        <v/>
      </c>
      <c r="L4" s="11">
        <f>IF(A4="","",IFERROR(INDEX('Identificación y Versiones'!$P:$P,MATCH(A4,'Identificación y Versiones'!$A:$A,0)),""))</f>
        <v/>
      </c>
      <c r="M4" s="11">
        <f>IF(A4="","",IFERROR(INDEX('Identificación y Versiones'!$Q:$Q,MATCH(A4,'Identificación y Versiones'!$A:$A,0)),""))</f>
        <v/>
      </c>
      <c r="N4" s="11">
        <f>IF(A4="","",IFERROR(INDEX('Identificación y Versiones'!$R:$R,MATCH(A4,'Identificación y Versiones'!$A:$A,0)),""))</f>
        <v/>
      </c>
      <c r="O4" s="11">
        <f>IF(A4="","",IFERROR(INDEX('Identificación y Versiones'!$S:$S,MATCH(A4,'Identificación y Versiones'!$A:$A,0)),""))</f>
        <v/>
      </c>
      <c r="P4" s="11">
        <f>IF(A4="","",IFERROR(INDEX('Identificación y Versiones'!$E:$E,MATCH(A4,'Identificación y Versiones'!$A:$A,0)),""))</f>
        <v/>
      </c>
      <c r="Q4" s="11">
        <f>IF(A4="","",IFERROR(INDEX('Identificación y Versiones'!$D:$D,MATCH(A4,'Identificación y Versiones'!$A:$A,0)),""))</f>
        <v/>
      </c>
      <c r="R4" s="11">
        <f>IF(A4="","",IFERROR(INDEX('Identificación y Versiones'!$L:$L,MATCH(A4,'Identificación y Versiones'!$A:$A,0)),""))</f>
        <v/>
      </c>
      <c r="S4" s="11">
        <f>IF(A4="","",COUNTIF('Casos de Prueba'!$B$2:$B$1000,A4))</f>
        <v/>
      </c>
      <c r="T4" s="11">
        <f>IF(A4="","",COUNTIFS('Casos de Prueba'!$B$2:$B$1000,A4,'Casos de Prueba'!$J$2:$J$1000,"&lt;&gt;Pendiente",'Casos de Prueba'!$J$2:$J$1000,"&lt;&gt;"))</f>
        <v/>
      </c>
      <c r="U4" s="11">
        <f>IF(A4="","",COUNTIFS('Casos de Prueba'!$B$2:$B$1000,A4,'Casos de Prueba'!$J$2:$J$1000,"Aprobado"))</f>
        <v/>
      </c>
      <c r="V4" s="11">
        <f>IF(A4="","",COUNTIFS('Casos de Prueba'!$B$2:$B$1000,A4,'Casos de Prueba'!$J$2:$J$1000,"Fallido"))</f>
        <v/>
      </c>
      <c r="W4" s="11">
        <f>IF(A4="","",COUNTIFS('Casos de Prueba'!$B$2:$B$1000,A4,'Casos de Prueba'!$J$2:$J$1000,"Bloqueado"))</f>
        <v/>
      </c>
      <c r="X4" s="11">
        <f>IF(A4="","",COUNTIFS('Casos de Prueba'!$B$2:$B$1000,A4,'Casos de Prueba'!$J$2:$J$1000,"Pendiente"))</f>
        <v/>
      </c>
      <c r="Y4" s="11">
        <f>IF(A4="","",COUNTIFS(Incidencias!$C$2:$C$1000,A4,Incidencias!$N$2:$N$1000,"&lt;&gt;Cerrado")-COUNTIFS(Incidencias!$C$2:$C$1000,A4,Incidencias!$N$2:$N$1000,""))</f>
        <v/>
      </c>
      <c r="Z4" s="15" t="n"/>
      <c r="AA4" s="15" t="n"/>
      <c r="AB4" s="15" t="n"/>
      <c r="AC4" s="15" t="n"/>
      <c r="AD4" s="13">
        <f>IF(A4="","","Resumen de visita — Sesión "&amp;A4&amp;CHAR(10)&amp;"Fecha de la visita: "&amp;C4&amp;CHAR(10)&amp;"Cliente / Comercio: "&amp;D4&amp;CHAR(10)&amp;"Máquina: "&amp;E4&amp;" "&amp;F4&amp;" (Serial: "&amp;G4&amp;")"&amp;CHAR(10)&amp;"POS: "&amp;H4&amp;" (Serial: "&amp;I4&amp;") — Firmware: "&amp;J4&amp;CHAR(10)&amp;"MDB: "&amp;K4&amp;" / "&amp;L4&amp;" / "&amp;M4&amp;CHAR(10)&amp;"Financiera: "&amp;N4&amp;"  |  Agente Polaris: "&amp;O4&amp;CHAR(10)&amp;"Participantes: "&amp;P4&amp;" (Responsable: "&amp;Q4&amp;")"&amp;CHAR(10)&amp;"Objetivo: "&amp;R4&amp;CHAR(10)&amp;CHAR(10)&amp;"Resultado de pruebas: "&amp;T4&amp;"/"&amp;S4&amp;" ejecutadas — Aprobadas: "&amp;U4&amp;", Fallidas: "&amp;V4&amp;", Bloqueadas: "&amp;W4&amp;", Pendientes: "&amp;X4&amp;CHAR(10)&amp;"Incidencias abiertas: "&amp;Y4&amp;CHAR(10)&amp;CHAR(10)&amp;"Concepto final: "&amp;AB4&amp;CHAR(10)&amp;"Pendientes: "&amp;AA4)</f>
        <v/>
      </c>
    </row>
    <row r="5">
      <c r="A5" s="15" t="n"/>
      <c r="B5" s="15" t="n"/>
      <c r="C5" s="11">
        <f>IF(A5="","",IFERROR(INDEX('Identificación y Versiones'!$B:$B,MATCH(A5,'Identificación y Versiones'!$A:$A,0)),""))</f>
        <v/>
      </c>
      <c r="D5" s="11">
        <f>IF(A5="","",IFERROR(INDEX('Identificación y Versiones'!$F:$F,MATCH(A5,'Identificación y Versiones'!$A:$A,0)),""))</f>
        <v/>
      </c>
      <c r="E5" s="11">
        <f>IF(A5="","",IFERROR(INDEX('Identificación y Versiones'!$G:$G,MATCH(A5,'Identificación y Versiones'!$A:$A,0)),""))</f>
        <v/>
      </c>
      <c r="F5" s="11">
        <f>IF(A5="","",IFERROR(INDEX('Identificación y Versiones'!$H:$H,MATCH(A5,'Identificación y Versiones'!$A:$A,0)),""))</f>
        <v/>
      </c>
      <c r="G5" s="11">
        <f>IF(A5="","",IFERROR(INDEX('Identificación y Versiones'!$I:$I,MATCH(A5,'Identificación y Versiones'!$A:$A,0)),""))</f>
        <v/>
      </c>
      <c r="H5" s="11">
        <f>IF(A5="","",IFERROR(INDEX('Identificación y Versiones'!$J:$J,MATCH(A5,'Identificación y Versiones'!$A:$A,0)),""))</f>
        <v/>
      </c>
      <c r="I5" s="11">
        <f>IF(A5="","",IFERROR(INDEX('Identificación y Versiones'!$K:$K,MATCH(A5,'Identificación y Versiones'!$A:$A,0)),""))</f>
        <v/>
      </c>
      <c r="J5" s="11">
        <f>IF(A5="","",IFERROR(INDEX('Identificación y Versiones'!$N:$N,MATCH(A5,'Identificación y Versiones'!$A:$A,0)),""))</f>
        <v/>
      </c>
      <c r="K5" s="11">
        <f>IF(A5="","",IFERROR(INDEX('Identificación y Versiones'!$O:$O,MATCH(A5,'Identificación y Versiones'!$A:$A,0)),""))</f>
        <v/>
      </c>
      <c r="L5" s="11">
        <f>IF(A5="","",IFERROR(INDEX('Identificación y Versiones'!$P:$P,MATCH(A5,'Identificación y Versiones'!$A:$A,0)),""))</f>
        <v/>
      </c>
      <c r="M5" s="11">
        <f>IF(A5="","",IFERROR(INDEX('Identificación y Versiones'!$Q:$Q,MATCH(A5,'Identificación y Versiones'!$A:$A,0)),""))</f>
        <v/>
      </c>
      <c r="N5" s="11">
        <f>IF(A5="","",IFERROR(INDEX('Identificación y Versiones'!$R:$R,MATCH(A5,'Identificación y Versiones'!$A:$A,0)),""))</f>
        <v/>
      </c>
      <c r="O5" s="11">
        <f>IF(A5="","",IFERROR(INDEX('Identificación y Versiones'!$S:$S,MATCH(A5,'Identificación y Versiones'!$A:$A,0)),""))</f>
        <v/>
      </c>
      <c r="P5" s="11">
        <f>IF(A5="","",IFERROR(INDEX('Identificación y Versiones'!$E:$E,MATCH(A5,'Identificación y Versiones'!$A:$A,0)),""))</f>
        <v/>
      </c>
      <c r="Q5" s="11">
        <f>IF(A5="","",IFERROR(INDEX('Identificación y Versiones'!$D:$D,MATCH(A5,'Identificación y Versiones'!$A:$A,0)),""))</f>
        <v/>
      </c>
      <c r="R5" s="11">
        <f>IF(A5="","",IFERROR(INDEX('Identificación y Versiones'!$L:$L,MATCH(A5,'Identificación y Versiones'!$A:$A,0)),""))</f>
        <v/>
      </c>
      <c r="S5" s="11">
        <f>IF(A5="","",COUNTIF('Casos de Prueba'!$B$2:$B$1000,A5))</f>
        <v/>
      </c>
      <c r="T5" s="11">
        <f>IF(A5="","",COUNTIFS('Casos de Prueba'!$B$2:$B$1000,A5,'Casos de Prueba'!$J$2:$J$1000,"&lt;&gt;Pendiente",'Casos de Prueba'!$J$2:$J$1000,"&lt;&gt;"))</f>
        <v/>
      </c>
      <c r="U5" s="11">
        <f>IF(A5="","",COUNTIFS('Casos de Prueba'!$B$2:$B$1000,A5,'Casos de Prueba'!$J$2:$J$1000,"Aprobado"))</f>
        <v/>
      </c>
      <c r="V5" s="11">
        <f>IF(A5="","",COUNTIFS('Casos de Prueba'!$B$2:$B$1000,A5,'Casos de Prueba'!$J$2:$J$1000,"Fallido"))</f>
        <v/>
      </c>
      <c r="W5" s="11">
        <f>IF(A5="","",COUNTIFS('Casos de Prueba'!$B$2:$B$1000,A5,'Casos de Prueba'!$J$2:$J$1000,"Bloqueado"))</f>
        <v/>
      </c>
      <c r="X5" s="11">
        <f>IF(A5="","",COUNTIFS('Casos de Prueba'!$B$2:$B$1000,A5,'Casos de Prueba'!$J$2:$J$1000,"Pendiente"))</f>
        <v/>
      </c>
      <c r="Y5" s="11">
        <f>IF(A5="","",COUNTIFS(Incidencias!$C$2:$C$1000,A5,Incidencias!$N$2:$N$1000,"&lt;&gt;Cerrado")-COUNTIFS(Incidencias!$C$2:$C$1000,A5,Incidencias!$N$2:$N$1000,""))</f>
        <v/>
      </c>
      <c r="Z5" s="15" t="n"/>
      <c r="AA5" s="15" t="n"/>
      <c r="AB5" s="15" t="n"/>
      <c r="AC5" s="15" t="n"/>
      <c r="AD5" s="13">
        <f>IF(A5="","","Resumen de visita — Sesión "&amp;A5&amp;CHAR(10)&amp;"Fecha de la visita: "&amp;C5&amp;CHAR(10)&amp;"Cliente / Comercio: "&amp;D5&amp;CHAR(10)&amp;"Máquina: "&amp;E5&amp;" "&amp;F5&amp;" (Serial: "&amp;G5&amp;")"&amp;CHAR(10)&amp;"POS: "&amp;H5&amp;" (Serial: "&amp;I5&amp;") — Firmware: "&amp;J5&amp;CHAR(10)&amp;"MDB: "&amp;K5&amp;" / "&amp;L5&amp;" / "&amp;M5&amp;CHAR(10)&amp;"Financiera: "&amp;N5&amp;"  |  Agente Polaris: "&amp;O5&amp;CHAR(10)&amp;"Participantes: "&amp;P5&amp;" (Responsable: "&amp;Q5&amp;")"&amp;CHAR(10)&amp;"Objetivo: "&amp;R5&amp;CHAR(10)&amp;CHAR(10)&amp;"Resultado de pruebas: "&amp;T5&amp;"/"&amp;S5&amp;" ejecutadas — Aprobadas: "&amp;U5&amp;", Fallidas: "&amp;V5&amp;", Bloqueadas: "&amp;W5&amp;", Pendientes: "&amp;X5&amp;CHAR(10)&amp;"Incidencias abiertas: "&amp;Y5&amp;CHAR(10)&amp;CHAR(10)&amp;"Concepto final: "&amp;AB5&amp;CHAR(10)&amp;"Pendientes: "&amp;AA5)</f>
        <v/>
      </c>
    </row>
    <row r="6">
      <c r="A6" s="15" t="n"/>
      <c r="B6" s="15" t="n"/>
      <c r="C6" s="11">
        <f>IF(A6="","",IFERROR(INDEX('Identificación y Versiones'!$B:$B,MATCH(A6,'Identificación y Versiones'!$A:$A,0)),""))</f>
        <v/>
      </c>
      <c r="D6" s="11">
        <f>IF(A6="","",IFERROR(INDEX('Identificación y Versiones'!$F:$F,MATCH(A6,'Identificación y Versiones'!$A:$A,0)),""))</f>
        <v/>
      </c>
      <c r="E6" s="11">
        <f>IF(A6="","",IFERROR(INDEX('Identificación y Versiones'!$G:$G,MATCH(A6,'Identificación y Versiones'!$A:$A,0)),""))</f>
        <v/>
      </c>
      <c r="F6" s="11">
        <f>IF(A6="","",IFERROR(INDEX('Identificación y Versiones'!$H:$H,MATCH(A6,'Identificación y Versiones'!$A:$A,0)),""))</f>
        <v/>
      </c>
      <c r="G6" s="11">
        <f>IF(A6="","",IFERROR(INDEX('Identificación y Versiones'!$I:$I,MATCH(A6,'Identificación y Versiones'!$A:$A,0)),""))</f>
        <v/>
      </c>
      <c r="H6" s="11">
        <f>IF(A6="","",IFERROR(INDEX('Identificación y Versiones'!$J:$J,MATCH(A6,'Identificación y Versiones'!$A:$A,0)),""))</f>
        <v/>
      </c>
      <c r="I6" s="11">
        <f>IF(A6="","",IFERROR(INDEX('Identificación y Versiones'!$K:$K,MATCH(A6,'Identificación y Versiones'!$A:$A,0)),""))</f>
        <v/>
      </c>
      <c r="J6" s="11">
        <f>IF(A6="","",IFERROR(INDEX('Identificación y Versiones'!$N:$N,MATCH(A6,'Identificación y Versiones'!$A:$A,0)),""))</f>
        <v/>
      </c>
      <c r="K6" s="11">
        <f>IF(A6="","",IFERROR(INDEX('Identificación y Versiones'!$O:$O,MATCH(A6,'Identificación y Versiones'!$A:$A,0)),""))</f>
        <v/>
      </c>
      <c r="L6" s="11">
        <f>IF(A6="","",IFERROR(INDEX('Identificación y Versiones'!$P:$P,MATCH(A6,'Identificación y Versiones'!$A:$A,0)),""))</f>
        <v/>
      </c>
      <c r="M6" s="11">
        <f>IF(A6="","",IFERROR(INDEX('Identificación y Versiones'!$Q:$Q,MATCH(A6,'Identificación y Versiones'!$A:$A,0)),""))</f>
        <v/>
      </c>
      <c r="N6" s="11">
        <f>IF(A6="","",IFERROR(INDEX('Identificación y Versiones'!$R:$R,MATCH(A6,'Identificación y Versiones'!$A:$A,0)),""))</f>
        <v/>
      </c>
      <c r="O6" s="11">
        <f>IF(A6="","",IFERROR(INDEX('Identificación y Versiones'!$S:$S,MATCH(A6,'Identificación y Versiones'!$A:$A,0)),""))</f>
        <v/>
      </c>
      <c r="P6" s="11">
        <f>IF(A6="","",IFERROR(INDEX('Identificación y Versiones'!$E:$E,MATCH(A6,'Identificación y Versiones'!$A:$A,0)),""))</f>
        <v/>
      </c>
      <c r="Q6" s="11">
        <f>IF(A6="","",IFERROR(INDEX('Identificación y Versiones'!$D:$D,MATCH(A6,'Identificación y Versiones'!$A:$A,0)),""))</f>
        <v/>
      </c>
      <c r="R6" s="11">
        <f>IF(A6="","",IFERROR(INDEX('Identificación y Versiones'!$L:$L,MATCH(A6,'Identificación y Versiones'!$A:$A,0)),""))</f>
        <v/>
      </c>
      <c r="S6" s="11">
        <f>IF(A6="","",COUNTIF('Casos de Prueba'!$B$2:$B$1000,A6))</f>
        <v/>
      </c>
      <c r="T6" s="11">
        <f>IF(A6="","",COUNTIFS('Casos de Prueba'!$B$2:$B$1000,A6,'Casos de Prueba'!$J$2:$J$1000,"&lt;&gt;Pendiente",'Casos de Prueba'!$J$2:$J$1000,"&lt;&gt;"))</f>
        <v/>
      </c>
      <c r="U6" s="11">
        <f>IF(A6="","",COUNTIFS('Casos de Prueba'!$B$2:$B$1000,A6,'Casos de Prueba'!$J$2:$J$1000,"Aprobado"))</f>
        <v/>
      </c>
      <c r="V6" s="11">
        <f>IF(A6="","",COUNTIFS('Casos de Prueba'!$B$2:$B$1000,A6,'Casos de Prueba'!$J$2:$J$1000,"Fallido"))</f>
        <v/>
      </c>
      <c r="W6" s="11">
        <f>IF(A6="","",COUNTIFS('Casos de Prueba'!$B$2:$B$1000,A6,'Casos de Prueba'!$J$2:$J$1000,"Bloqueado"))</f>
        <v/>
      </c>
      <c r="X6" s="11">
        <f>IF(A6="","",COUNTIFS('Casos de Prueba'!$B$2:$B$1000,A6,'Casos de Prueba'!$J$2:$J$1000,"Pendiente"))</f>
        <v/>
      </c>
      <c r="Y6" s="11">
        <f>IF(A6="","",COUNTIFS(Incidencias!$C$2:$C$1000,A6,Incidencias!$N$2:$N$1000,"&lt;&gt;Cerrado")-COUNTIFS(Incidencias!$C$2:$C$1000,A6,Incidencias!$N$2:$N$1000,""))</f>
        <v/>
      </c>
      <c r="Z6" s="15" t="n"/>
      <c r="AA6" s="15" t="n"/>
      <c r="AB6" s="15" t="n"/>
      <c r="AC6" s="15" t="n"/>
      <c r="AD6" s="13">
        <f>IF(A6="","","Resumen de visita — Sesión "&amp;A6&amp;CHAR(10)&amp;"Fecha de la visita: "&amp;C6&amp;CHAR(10)&amp;"Cliente / Comercio: "&amp;D6&amp;CHAR(10)&amp;"Máquina: "&amp;E6&amp;" "&amp;F6&amp;" (Serial: "&amp;G6&amp;")"&amp;CHAR(10)&amp;"POS: "&amp;H6&amp;" (Serial: "&amp;I6&amp;") — Firmware: "&amp;J6&amp;CHAR(10)&amp;"MDB: "&amp;K6&amp;" / "&amp;L6&amp;" / "&amp;M6&amp;CHAR(10)&amp;"Financiera: "&amp;N6&amp;"  |  Agente Polaris: "&amp;O6&amp;CHAR(10)&amp;"Participantes: "&amp;P6&amp;" (Responsable: "&amp;Q6&amp;")"&amp;CHAR(10)&amp;"Objetivo: "&amp;R6&amp;CHAR(10)&amp;CHAR(10)&amp;"Resultado de pruebas: "&amp;T6&amp;"/"&amp;S6&amp;" ejecutadas — Aprobadas: "&amp;U6&amp;", Fallidas: "&amp;V6&amp;", Bloqueadas: "&amp;W6&amp;", Pendientes: "&amp;X6&amp;CHAR(10)&amp;"Incidencias abiertas: "&amp;Y6&amp;CHAR(10)&amp;CHAR(10)&amp;"Concepto final: "&amp;AB6&amp;CHAR(10)&amp;"Pendientes: "&amp;AA6)</f>
        <v/>
      </c>
    </row>
    <row r="7">
      <c r="A7" s="15" t="n"/>
      <c r="B7" s="15" t="n"/>
      <c r="C7" s="11">
        <f>IF(A7="","",IFERROR(INDEX('Identificación y Versiones'!$B:$B,MATCH(A7,'Identificación y Versiones'!$A:$A,0)),""))</f>
        <v/>
      </c>
      <c r="D7" s="11">
        <f>IF(A7="","",IFERROR(INDEX('Identificación y Versiones'!$F:$F,MATCH(A7,'Identificación y Versiones'!$A:$A,0)),""))</f>
        <v/>
      </c>
      <c r="E7" s="11">
        <f>IF(A7="","",IFERROR(INDEX('Identificación y Versiones'!$G:$G,MATCH(A7,'Identificación y Versiones'!$A:$A,0)),""))</f>
        <v/>
      </c>
      <c r="F7" s="11">
        <f>IF(A7="","",IFERROR(INDEX('Identificación y Versiones'!$H:$H,MATCH(A7,'Identificación y Versiones'!$A:$A,0)),""))</f>
        <v/>
      </c>
      <c r="G7" s="11">
        <f>IF(A7="","",IFERROR(INDEX('Identificación y Versiones'!$I:$I,MATCH(A7,'Identificación y Versiones'!$A:$A,0)),""))</f>
        <v/>
      </c>
      <c r="H7" s="11">
        <f>IF(A7="","",IFERROR(INDEX('Identificación y Versiones'!$J:$J,MATCH(A7,'Identificación y Versiones'!$A:$A,0)),""))</f>
        <v/>
      </c>
      <c r="I7" s="11">
        <f>IF(A7="","",IFERROR(INDEX('Identificación y Versiones'!$K:$K,MATCH(A7,'Identificación y Versiones'!$A:$A,0)),""))</f>
        <v/>
      </c>
      <c r="J7" s="11">
        <f>IF(A7="","",IFERROR(INDEX('Identificación y Versiones'!$N:$N,MATCH(A7,'Identificación y Versiones'!$A:$A,0)),""))</f>
        <v/>
      </c>
      <c r="K7" s="11">
        <f>IF(A7="","",IFERROR(INDEX('Identificación y Versiones'!$O:$O,MATCH(A7,'Identificación y Versiones'!$A:$A,0)),""))</f>
        <v/>
      </c>
      <c r="L7" s="11">
        <f>IF(A7="","",IFERROR(INDEX('Identificación y Versiones'!$P:$P,MATCH(A7,'Identificación y Versiones'!$A:$A,0)),""))</f>
        <v/>
      </c>
      <c r="M7" s="11">
        <f>IF(A7="","",IFERROR(INDEX('Identificación y Versiones'!$Q:$Q,MATCH(A7,'Identificación y Versiones'!$A:$A,0)),""))</f>
        <v/>
      </c>
      <c r="N7" s="11">
        <f>IF(A7="","",IFERROR(INDEX('Identificación y Versiones'!$R:$R,MATCH(A7,'Identificación y Versiones'!$A:$A,0)),""))</f>
        <v/>
      </c>
      <c r="O7" s="11">
        <f>IF(A7="","",IFERROR(INDEX('Identificación y Versiones'!$S:$S,MATCH(A7,'Identificación y Versiones'!$A:$A,0)),""))</f>
        <v/>
      </c>
      <c r="P7" s="11">
        <f>IF(A7="","",IFERROR(INDEX('Identificación y Versiones'!$E:$E,MATCH(A7,'Identificación y Versiones'!$A:$A,0)),""))</f>
        <v/>
      </c>
      <c r="Q7" s="11">
        <f>IF(A7="","",IFERROR(INDEX('Identificación y Versiones'!$D:$D,MATCH(A7,'Identificación y Versiones'!$A:$A,0)),""))</f>
        <v/>
      </c>
      <c r="R7" s="11">
        <f>IF(A7="","",IFERROR(INDEX('Identificación y Versiones'!$L:$L,MATCH(A7,'Identificación y Versiones'!$A:$A,0)),""))</f>
        <v/>
      </c>
      <c r="S7" s="11">
        <f>IF(A7="","",COUNTIF('Casos de Prueba'!$B$2:$B$1000,A7))</f>
        <v/>
      </c>
      <c r="T7" s="11">
        <f>IF(A7="","",COUNTIFS('Casos de Prueba'!$B$2:$B$1000,A7,'Casos de Prueba'!$J$2:$J$1000,"&lt;&gt;Pendiente",'Casos de Prueba'!$J$2:$J$1000,"&lt;&gt;"))</f>
        <v/>
      </c>
      <c r="U7" s="11">
        <f>IF(A7="","",COUNTIFS('Casos de Prueba'!$B$2:$B$1000,A7,'Casos de Prueba'!$J$2:$J$1000,"Aprobado"))</f>
        <v/>
      </c>
      <c r="V7" s="11">
        <f>IF(A7="","",COUNTIFS('Casos de Prueba'!$B$2:$B$1000,A7,'Casos de Prueba'!$J$2:$J$1000,"Fallido"))</f>
        <v/>
      </c>
      <c r="W7" s="11">
        <f>IF(A7="","",COUNTIFS('Casos de Prueba'!$B$2:$B$1000,A7,'Casos de Prueba'!$J$2:$J$1000,"Bloqueado"))</f>
        <v/>
      </c>
      <c r="X7" s="11">
        <f>IF(A7="","",COUNTIFS('Casos de Prueba'!$B$2:$B$1000,A7,'Casos de Prueba'!$J$2:$J$1000,"Pendiente"))</f>
        <v/>
      </c>
      <c r="Y7" s="11">
        <f>IF(A7="","",COUNTIFS(Incidencias!$C$2:$C$1000,A7,Incidencias!$N$2:$N$1000,"&lt;&gt;Cerrado")-COUNTIFS(Incidencias!$C$2:$C$1000,A7,Incidencias!$N$2:$N$1000,""))</f>
        <v/>
      </c>
      <c r="Z7" s="15" t="n"/>
      <c r="AA7" s="15" t="n"/>
      <c r="AB7" s="15" t="n"/>
      <c r="AC7" s="15" t="n"/>
      <c r="AD7" s="13">
        <f>IF(A7="","","Resumen de visita — Sesión "&amp;A7&amp;CHAR(10)&amp;"Fecha de la visita: "&amp;C7&amp;CHAR(10)&amp;"Cliente / Comercio: "&amp;D7&amp;CHAR(10)&amp;"Máquina: "&amp;E7&amp;" "&amp;F7&amp;" (Serial: "&amp;G7&amp;")"&amp;CHAR(10)&amp;"POS: "&amp;H7&amp;" (Serial: "&amp;I7&amp;") — Firmware: "&amp;J7&amp;CHAR(10)&amp;"MDB: "&amp;K7&amp;" / "&amp;L7&amp;" / "&amp;M7&amp;CHAR(10)&amp;"Financiera: "&amp;N7&amp;"  |  Agente Polaris: "&amp;O7&amp;CHAR(10)&amp;"Participantes: "&amp;P7&amp;" (Responsable: "&amp;Q7&amp;")"&amp;CHAR(10)&amp;"Objetivo: "&amp;R7&amp;CHAR(10)&amp;CHAR(10)&amp;"Resultado de pruebas: "&amp;T7&amp;"/"&amp;S7&amp;" ejecutadas — Aprobadas: "&amp;U7&amp;", Fallidas: "&amp;V7&amp;", Bloqueadas: "&amp;W7&amp;", Pendientes: "&amp;X7&amp;CHAR(10)&amp;"Incidencias abiertas: "&amp;Y7&amp;CHAR(10)&amp;CHAR(10)&amp;"Concepto final: "&amp;AB7&amp;CHAR(10)&amp;"Pendientes: "&amp;AA7)</f>
        <v/>
      </c>
    </row>
    <row r="8">
      <c r="A8" s="15" t="n"/>
      <c r="B8" s="15" t="n"/>
      <c r="C8" s="11">
        <f>IF(A8="","",IFERROR(INDEX('Identificación y Versiones'!$B:$B,MATCH(A8,'Identificación y Versiones'!$A:$A,0)),""))</f>
        <v/>
      </c>
      <c r="D8" s="11">
        <f>IF(A8="","",IFERROR(INDEX('Identificación y Versiones'!$F:$F,MATCH(A8,'Identificación y Versiones'!$A:$A,0)),""))</f>
        <v/>
      </c>
      <c r="E8" s="11">
        <f>IF(A8="","",IFERROR(INDEX('Identificación y Versiones'!$G:$G,MATCH(A8,'Identificación y Versiones'!$A:$A,0)),""))</f>
        <v/>
      </c>
      <c r="F8" s="11">
        <f>IF(A8="","",IFERROR(INDEX('Identificación y Versiones'!$H:$H,MATCH(A8,'Identificación y Versiones'!$A:$A,0)),""))</f>
        <v/>
      </c>
      <c r="G8" s="11">
        <f>IF(A8="","",IFERROR(INDEX('Identificación y Versiones'!$I:$I,MATCH(A8,'Identificación y Versiones'!$A:$A,0)),""))</f>
        <v/>
      </c>
      <c r="H8" s="11">
        <f>IF(A8="","",IFERROR(INDEX('Identificación y Versiones'!$J:$J,MATCH(A8,'Identificación y Versiones'!$A:$A,0)),""))</f>
        <v/>
      </c>
      <c r="I8" s="11">
        <f>IF(A8="","",IFERROR(INDEX('Identificación y Versiones'!$K:$K,MATCH(A8,'Identificación y Versiones'!$A:$A,0)),""))</f>
        <v/>
      </c>
      <c r="J8" s="11">
        <f>IF(A8="","",IFERROR(INDEX('Identificación y Versiones'!$N:$N,MATCH(A8,'Identificación y Versiones'!$A:$A,0)),""))</f>
        <v/>
      </c>
      <c r="K8" s="11">
        <f>IF(A8="","",IFERROR(INDEX('Identificación y Versiones'!$O:$O,MATCH(A8,'Identificación y Versiones'!$A:$A,0)),""))</f>
        <v/>
      </c>
      <c r="L8" s="11">
        <f>IF(A8="","",IFERROR(INDEX('Identificación y Versiones'!$P:$P,MATCH(A8,'Identificación y Versiones'!$A:$A,0)),""))</f>
        <v/>
      </c>
      <c r="M8" s="11">
        <f>IF(A8="","",IFERROR(INDEX('Identificación y Versiones'!$Q:$Q,MATCH(A8,'Identificación y Versiones'!$A:$A,0)),""))</f>
        <v/>
      </c>
      <c r="N8" s="11">
        <f>IF(A8="","",IFERROR(INDEX('Identificación y Versiones'!$R:$R,MATCH(A8,'Identificación y Versiones'!$A:$A,0)),""))</f>
        <v/>
      </c>
      <c r="O8" s="11">
        <f>IF(A8="","",IFERROR(INDEX('Identificación y Versiones'!$S:$S,MATCH(A8,'Identificación y Versiones'!$A:$A,0)),""))</f>
        <v/>
      </c>
      <c r="P8" s="11">
        <f>IF(A8="","",IFERROR(INDEX('Identificación y Versiones'!$E:$E,MATCH(A8,'Identificación y Versiones'!$A:$A,0)),""))</f>
        <v/>
      </c>
      <c r="Q8" s="11">
        <f>IF(A8="","",IFERROR(INDEX('Identificación y Versiones'!$D:$D,MATCH(A8,'Identificación y Versiones'!$A:$A,0)),""))</f>
        <v/>
      </c>
      <c r="R8" s="11">
        <f>IF(A8="","",IFERROR(INDEX('Identificación y Versiones'!$L:$L,MATCH(A8,'Identificación y Versiones'!$A:$A,0)),""))</f>
        <v/>
      </c>
      <c r="S8" s="11">
        <f>IF(A8="","",COUNTIF('Casos de Prueba'!$B$2:$B$1000,A8))</f>
        <v/>
      </c>
      <c r="T8" s="11">
        <f>IF(A8="","",COUNTIFS('Casos de Prueba'!$B$2:$B$1000,A8,'Casos de Prueba'!$J$2:$J$1000,"&lt;&gt;Pendiente",'Casos de Prueba'!$J$2:$J$1000,"&lt;&gt;"))</f>
        <v/>
      </c>
      <c r="U8" s="11">
        <f>IF(A8="","",COUNTIFS('Casos de Prueba'!$B$2:$B$1000,A8,'Casos de Prueba'!$J$2:$J$1000,"Aprobado"))</f>
        <v/>
      </c>
      <c r="V8" s="11">
        <f>IF(A8="","",COUNTIFS('Casos de Prueba'!$B$2:$B$1000,A8,'Casos de Prueba'!$J$2:$J$1000,"Fallido"))</f>
        <v/>
      </c>
      <c r="W8" s="11">
        <f>IF(A8="","",COUNTIFS('Casos de Prueba'!$B$2:$B$1000,A8,'Casos de Prueba'!$J$2:$J$1000,"Bloqueado"))</f>
        <v/>
      </c>
      <c r="X8" s="11">
        <f>IF(A8="","",COUNTIFS('Casos de Prueba'!$B$2:$B$1000,A8,'Casos de Prueba'!$J$2:$J$1000,"Pendiente"))</f>
        <v/>
      </c>
      <c r="Y8" s="11">
        <f>IF(A8="","",COUNTIFS(Incidencias!$C$2:$C$1000,A8,Incidencias!$N$2:$N$1000,"&lt;&gt;Cerrado")-COUNTIFS(Incidencias!$C$2:$C$1000,A8,Incidencias!$N$2:$N$1000,""))</f>
        <v/>
      </c>
      <c r="Z8" s="15" t="n"/>
      <c r="AA8" s="15" t="n"/>
      <c r="AB8" s="15" t="n"/>
      <c r="AC8" s="15" t="n"/>
      <c r="AD8" s="13">
        <f>IF(A8="","","Resumen de visita — Sesión "&amp;A8&amp;CHAR(10)&amp;"Fecha de la visita: "&amp;C8&amp;CHAR(10)&amp;"Cliente / Comercio: "&amp;D8&amp;CHAR(10)&amp;"Máquina: "&amp;E8&amp;" "&amp;F8&amp;" (Serial: "&amp;G8&amp;")"&amp;CHAR(10)&amp;"POS: "&amp;H8&amp;" (Serial: "&amp;I8&amp;") — Firmware: "&amp;J8&amp;CHAR(10)&amp;"MDB: "&amp;K8&amp;" / "&amp;L8&amp;" / "&amp;M8&amp;CHAR(10)&amp;"Financiera: "&amp;N8&amp;"  |  Agente Polaris: "&amp;O8&amp;CHAR(10)&amp;"Participantes: "&amp;P8&amp;" (Responsable: "&amp;Q8&amp;")"&amp;CHAR(10)&amp;"Objetivo: "&amp;R8&amp;CHAR(10)&amp;CHAR(10)&amp;"Resultado de pruebas: "&amp;T8&amp;"/"&amp;S8&amp;" ejecutadas — Aprobadas: "&amp;U8&amp;", Fallidas: "&amp;V8&amp;", Bloqueadas: "&amp;W8&amp;", Pendientes: "&amp;X8&amp;CHAR(10)&amp;"Incidencias abiertas: "&amp;Y8&amp;CHAR(10)&amp;CHAR(10)&amp;"Concepto final: "&amp;AB8&amp;CHAR(10)&amp;"Pendientes: "&amp;AA8)</f>
        <v/>
      </c>
    </row>
    <row r="9">
      <c r="A9" s="15" t="n"/>
      <c r="B9" s="15" t="n"/>
      <c r="C9" s="11">
        <f>IF(A9="","",IFERROR(INDEX('Identificación y Versiones'!$B:$B,MATCH(A9,'Identificación y Versiones'!$A:$A,0)),""))</f>
        <v/>
      </c>
      <c r="D9" s="11">
        <f>IF(A9="","",IFERROR(INDEX('Identificación y Versiones'!$F:$F,MATCH(A9,'Identificación y Versiones'!$A:$A,0)),""))</f>
        <v/>
      </c>
      <c r="E9" s="11">
        <f>IF(A9="","",IFERROR(INDEX('Identificación y Versiones'!$G:$G,MATCH(A9,'Identificación y Versiones'!$A:$A,0)),""))</f>
        <v/>
      </c>
      <c r="F9" s="11">
        <f>IF(A9="","",IFERROR(INDEX('Identificación y Versiones'!$H:$H,MATCH(A9,'Identificación y Versiones'!$A:$A,0)),""))</f>
        <v/>
      </c>
      <c r="G9" s="11">
        <f>IF(A9="","",IFERROR(INDEX('Identificación y Versiones'!$I:$I,MATCH(A9,'Identificación y Versiones'!$A:$A,0)),""))</f>
        <v/>
      </c>
      <c r="H9" s="11">
        <f>IF(A9="","",IFERROR(INDEX('Identificación y Versiones'!$J:$J,MATCH(A9,'Identificación y Versiones'!$A:$A,0)),""))</f>
        <v/>
      </c>
      <c r="I9" s="11">
        <f>IF(A9="","",IFERROR(INDEX('Identificación y Versiones'!$K:$K,MATCH(A9,'Identificación y Versiones'!$A:$A,0)),""))</f>
        <v/>
      </c>
      <c r="J9" s="11">
        <f>IF(A9="","",IFERROR(INDEX('Identificación y Versiones'!$N:$N,MATCH(A9,'Identificación y Versiones'!$A:$A,0)),""))</f>
        <v/>
      </c>
      <c r="K9" s="11">
        <f>IF(A9="","",IFERROR(INDEX('Identificación y Versiones'!$O:$O,MATCH(A9,'Identificación y Versiones'!$A:$A,0)),""))</f>
        <v/>
      </c>
      <c r="L9" s="11">
        <f>IF(A9="","",IFERROR(INDEX('Identificación y Versiones'!$P:$P,MATCH(A9,'Identificación y Versiones'!$A:$A,0)),""))</f>
        <v/>
      </c>
      <c r="M9" s="11">
        <f>IF(A9="","",IFERROR(INDEX('Identificación y Versiones'!$Q:$Q,MATCH(A9,'Identificación y Versiones'!$A:$A,0)),""))</f>
        <v/>
      </c>
      <c r="N9" s="11">
        <f>IF(A9="","",IFERROR(INDEX('Identificación y Versiones'!$R:$R,MATCH(A9,'Identificación y Versiones'!$A:$A,0)),""))</f>
        <v/>
      </c>
      <c r="O9" s="11">
        <f>IF(A9="","",IFERROR(INDEX('Identificación y Versiones'!$S:$S,MATCH(A9,'Identificación y Versiones'!$A:$A,0)),""))</f>
        <v/>
      </c>
      <c r="P9" s="11">
        <f>IF(A9="","",IFERROR(INDEX('Identificación y Versiones'!$E:$E,MATCH(A9,'Identificación y Versiones'!$A:$A,0)),""))</f>
        <v/>
      </c>
      <c r="Q9" s="11">
        <f>IF(A9="","",IFERROR(INDEX('Identificación y Versiones'!$D:$D,MATCH(A9,'Identificación y Versiones'!$A:$A,0)),""))</f>
        <v/>
      </c>
      <c r="R9" s="11">
        <f>IF(A9="","",IFERROR(INDEX('Identificación y Versiones'!$L:$L,MATCH(A9,'Identificación y Versiones'!$A:$A,0)),""))</f>
        <v/>
      </c>
      <c r="S9" s="11">
        <f>IF(A9="","",COUNTIF('Casos de Prueba'!$B$2:$B$1000,A9))</f>
        <v/>
      </c>
      <c r="T9" s="11">
        <f>IF(A9="","",COUNTIFS('Casos de Prueba'!$B$2:$B$1000,A9,'Casos de Prueba'!$J$2:$J$1000,"&lt;&gt;Pendiente",'Casos de Prueba'!$J$2:$J$1000,"&lt;&gt;"))</f>
        <v/>
      </c>
      <c r="U9" s="11">
        <f>IF(A9="","",COUNTIFS('Casos de Prueba'!$B$2:$B$1000,A9,'Casos de Prueba'!$J$2:$J$1000,"Aprobado"))</f>
        <v/>
      </c>
      <c r="V9" s="11">
        <f>IF(A9="","",COUNTIFS('Casos de Prueba'!$B$2:$B$1000,A9,'Casos de Prueba'!$J$2:$J$1000,"Fallido"))</f>
        <v/>
      </c>
      <c r="W9" s="11">
        <f>IF(A9="","",COUNTIFS('Casos de Prueba'!$B$2:$B$1000,A9,'Casos de Prueba'!$J$2:$J$1000,"Bloqueado"))</f>
        <v/>
      </c>
      <c r="X9" s="11">
        <f>IF(A9="","",COUNTIFS('Casos de Prueba'!$B$2:$B$1000,A9,'Casos de Prueba'!$J$2:$J$1000,"Pendiente"))</f>
        <v/>
      </c>
      <c r="Y9" s="11">
        <f>IF(A9="","",COUNTIFS(Incidencias!$C$2:$C$1000,A9,Incidencias!$N$2:$N$1000,"&lt;&gt;Cerrado")-COUNTIFS(Incidencias!$C$2:$C$1000,A9,Incidencias!$N$2:$N$1000,""))</f>
        <v/>
      </c>
      <c r="Z9" s="15" t="n"/>
      <c r="AA9" s="15" t="n"/>
      <c r="AB9" s="15" t="n"/>
      <c r="AC9" s="15" t="n"/>
      <c r="AD9" s="13">
        <f>IF(A9="","","Resumen de visita — Sesión "&amp;A9&amp;CHAR(10)&amp;"Fecha de la visita: "&amp;C9&amp;CHAR(10)&amp;"Cliente / Comercio: "&amp;D9&amp;CHAR(10)&amp;"Máquina: "&amp;E9&amp;" "&amp;F9&amp;" (Serial: "&amp;G9&amp;")"&amp;CHAR(10)&amp;"POS: "&amp;H9&amp;" (Serial: "&amp;I9&amp;") — Firmware: "&amp;J9&amp;CHAR(10)&amp;"MDB: "&amp;K9&amp;" / "&amp;L9&amp;" / "&amp;M9&amp;CHAR(10)&amp;"Financiera: "&amp;N9&amp;"  |  Agente Polaris: "&amp;O9&amp;CHAR(10)&amp;"Participantes: "&amp;P9&amp;" (Responsable: "&amp;Q9&amp;")"&amp;CHAR(10)&amp;"Objetivo: "&amp;R9&amp;CHAR(10)&amp;CHAR(10)&amp;"Resultado de pruebas: "&amp;T9&amp;"/"&amp;S9&amp;" ejecutadas — Aprobadas: "&amp;U9&amp;", Fallidas: "&amp;V9&amp;", Bloqueadas: "&amp;W9&amp;", Pendientes: "&amp;X9&amp;CHAR(10)&amp;"Incidencias abiertas: "&amp;Y9&amp;CHAR(10)&amp;CHAR(10)&amp;"Concepto final: "&amp;AB9&amp;CHAR(10)&amp;"Pendientes: "&amp;AA9)</f>
        <v/>
      </c>
    </row>
    <row r="10">
      <c r="A10" s="15" t="n"/>
      <c r="B10" s="15" t="n"/>
      <c r="C10" s="11">
        <f>IF(A10="","",IFERROR(INDEX('Identificación y Versiones'!$B:$B,MATCH(A10,'Identificación y Versiones'!$A:$A,0)),""))</f>
        <v/>
      </c>
      <c r="D10" s="11">
        <f>IF(A10="","",IFERROR(INDEX('Identificación y Versiones'!$F:$F,MATCH(A10,'Identificación y Versiones'!$A:$A,0)),""))</f>
        <v/>
      </c>
      <c r="E10" s="11">
        <f>IF(A10="","",IFERROR(INDEX('Identificación y Versiones'!$G:$G,MATCH(A10,'Identificación y Versiones'!$A:$A,0)),""))</f>
        <v/>
      </c>
      <c r="F10" s="11">
        <f>IF(A10="","",IFERROR(INDEX('Identificación y Versiones'!$H:$H,MATCH(A10,'Identificación y Versiones'!$A:$A,0)),""))</f>
        <v/>
      </c>
      <c r="G10" s="11">
        <f>IF(A10="","",IFERROR(INDEX('Identificación y Versiones'!$I:$I,MATCH(A10,'Identificación y Versiones'!$A:$A,0)),""))</f>
        <v/>
      </c>
      <c r="H10" s="11">
        <f>IF(A10="","",IFERROR(INDEX('Identificación y Versiones'!$J:$J,MATCH(A10,'Identificación y Versiones'!$A:$A,0)),""))</f>
        <v/>
      </c>
      <c r="I10" s="11">
        <f>IF(A10="","",IFERROR(INDEX('Identificación y Versiones'!$K:$K,MATCH(A10,'Identificación y Versiones'!$A:$A,0)),""))</f>
        <v/>
      </c>
      <c r="J10" s="11">
        <f>IF(A10="","",IFERROR(INDEX('Identificación y Versiones'!$N:$N,MATCH(A10,'Identificación y Versiones'!$A:$A,0)),""))</f>
        <v/>
      </c>
      <c r="K10" s="11">
        <f>IF(A10="","",IFERROR(INDEX('Identificación y Versiones'!$O:$O,MATCH(A10,'Identificación y Versiones'!$A:$A,0)),""))</f>
        <v/>
      </c>
      <c r="L10" s="11">
        <f>IF(A10="","",IFERROR(INDEX('Identificación y Versiones'!$P:$P,MATCH(A10,'Identificación y Versiones'!$A:$A,0)),""))</f>
        <v/>
      </c>
      <c r="M10" s="11">
        <f>IF(A10="","",IFERROR(INDEX('Identificación y Versiones'!$Q:$Q,MATCH(A10,'Identificación y Versiones'!$A:$A,0)),""))</f>
        <v/>
      </c>
      <c r="N10" s="11">
        <f>IF(A10="","",IFERROR(INDEX('Identificación y Versiones'!$R:$R,MATCH(A10,'Identificación y Versiones'!$A:$A,0)),""))</f>
        <v/>
      </c>
      <c r="O10" s="11">
        <f>IF(A10="","",IFERROR(INDEX('Identificación y Versiones'!$S:$S,MATCH(A10,'Identificación y Versiones'!$A:$A,0)),""))</f>
        <v/>
      </c>
      <c r="P10" s="11">
        <f>IF(A10="","",IFERROR(INDEX('Identificación y Versiones'!$E:$E,MATCH(A10,'Identificación y Versiones'!$A:$A,0)),""))</f>
        <v/>
      </c>
      <c r="Q10" s="11">
        <f>IF(A10="","",IFERROR(INDEX('Identificación y Versiones'!$D:$D,MATCH(A10,'Identificación y Versiones'!$A:$A,0)),""))</f>
        <v/>
      </c>
      <c r="R10" s="11">
        <f>IF(A10="","",IFERROR(INDEX('Identificación y Versiones'!$L:$L,MATCH(A10,'Identificación y Versiones'!$A:$A,0)),""))</f>
        <v/>
      </c>
      <c r="S10" s="11">
        <f>IF(A10="","",COUNTIF('Casos de Prueba'!$B$2:$B$1000,A10))</f>
        <v/>
      </c>
      <c r="T10" s="11">
        <f>IF(A10="","",COUNTIFS('Casos de Prueba'!$B$2:$B$1000,A10,'Casos de Prueba'!$J$2:$J$1000,"&lt;&gt;Pendiente",'Casos de Prueba'!$J$2:$J$1000,"&lt;&gt;"))</f>
        <v/>
      </c>
      <c r="U10" s="11">
        <f>IF(A10="","",COUNTIFS('Casos de Prueba'!$B$2:$B$1000,A10,'Casos de Prueba'!$J$2:$J$1000,"Aprobado"))</f>
        <v/>
      </c>
      <c r="V10" s="11">
        <f>IF(A10="","",COUNTIFS('Casos de Prueba'!$B$2:$B$1000,A10,'Casos de Prueba'!$J$2:$J$1000,"Fallido"))</f>
        <v/>
      </c>
      <c r="W10" s="11">
        <f>IF(A10="","",COUNTIFS('Casos de Prueba'!$B$2:$B$1000,A10,'Casos de Prueba'!$J$2:$J$1000,"Bloqueado"))</f>
        <v/>
      </c>
      <c r="X10" s="11">
        <f>IF(A10="","",COUNTIFS('Casos de Prueba'!$B$2:$B$1000,A10,'Casos de Prueba'!$J$2:$J$1000,"Pendiente"))</f>
        <v/>
      </c>
      <c r="Y10" s="11">
        <f>IF(A10="","",COUNTIFS(Incidencias!$C$2:$C$1000,A10,Incidencias!$N$2:$N$1000,"&lt;&gt;Cerrado")-COUNTIFS(Incidencias!$C$2:$C$1000,A10,Incidencias!$N$2:$N$1000,""))</f>
        <v/>
      </c>
      <c r="Z10" s="15" t="n"/>
      <c r="AA10" s="15" t="n"/>
      <c r="AB10" s="15" t="n"/>
      <c r="AC10" s="15" t="n"/>
      <c r="AD10" s="13">
        <f>IF(A10="","","Resumen de visita — Sesión "&amp;A10&amp;CHAR(10)&amp;"Fecha de la visita: "&amp;C10&amp;CHAR(10)&amp;"Cliente / Comercio: "&amp;D10&amp;CHAR(10)&amp;"Máquina: "&amp;E10&amp;" "&amp;F10&amp;" (Serial: "&amp;G10&amp;")"&amp;CHAR(10)&amp;"POS: "&amp;H10&amp;" (Serial: "&amp;I10&amp;") — Firmware: "&amp;J10&amp;CHAR(10)&amp;"MDB: "&amp;K10&amp;" / "&amp;L10&amp;" / "&amp;M10&amp;CHAR(10)&amp;"Financiera: "&amp;N10&amp;"  |  Agente Polaris: "&amp;O10&amp;CHAR(10)&amp;"Participantes: "&amp;P10&amp;" (Responsable: "&amp;Q10&amp;")"&amp;CHAR(10)&amp;"Objetivo: "&amp;R10&amp;CHAR(10)&amp;CHAR(10)&amp;"Resultado de pruebas: "&amp;T10&amp;"/"&amp;S10&amp;" ejecutadas — Aprobadas: "&amp;U10&amp;", Fallidas: "&amp;V10&amp;", Bloqueadas: "&amp;W10&amp;", Pendientes: "&amp;X10&amp;CHAR(10)&amp;"Incidencias abiertas: "&amp;Y10&amp;CHAR(10)&amp;CHAR(10)&amp;"Concepto final: "&amp;AB10&amp;CHAR(10)&amp;"Pendientes: "&amp;AA10)</f>
        <v/>
      </c>
    </row>
    <row r="11">
      <c r="A11" s="15" t="n"/>
      <c r="B11" s="15" t="n"/>
      <c r="C11" s="11">
        <f>IF(A11="","",IFERROR(INDEX('Identificación y Versiones'!$B:$B,MATCH(A11,'Identificación y Versiones'!$A:$A,0)),""))</f>
        <v/>
      </c>
      <c r="D11" s="11">
        <f>IF(A11="","",IFERROR(INDEX('Identificación y Versiones'!$F:$F,MATCH(A11,'Identificación y Versiones'!$A:$A,0)),""))</f>
        <v/>
      </c>
      <c r="E11" s="11">
        <f>IF(A11="","",IFERROR(INDEX('Identificación y Versiones'!$G:$G,MATCH(A11,'Identificación y Versiones'!$A:$A,0)),""))</f>
        <v/>
      </c>
      <c r="F11" s="11">
        <f>IF(A11="","",IFERROR(INDEX('Identificación y Versiones'!$H:$H,MATCH(A11,'Identificación y Versiones'!$A:$A,0)),""))</f>
        <v/>
      </c>
      <c r="G11" s="11">
        <f>IF(A11="","",IFERROR(INDEX('Identificación y Versiones'!$I:$I,MATCH(A11,'Identificación y Versiones'!$A:$A,0)),""))</f>
        <v/>
      </c>
      <c r="H11" s="11">
        <f>IF(A11="","",IFERROR(INDEX('Identificación y Versiones'!$J:$J,MATCH(A11,'Identificación y Versiones'!$A:$A,0)),""))</f>
        <v/>
      </c>
      <c r="I11" s="11">
        <f>IF(A11="","",IFERROR(INDEX('Identificación y Versiones'!$K:$K,MATCH(A11,'Identificación y Versiones'!$A:$A,0)),""))</f>
        <v/>
      </c>
      <c r="J11" s="11">
        <f>IF(A11="","",IFERROR(INDEX('Identificación y Versiones'!$N:$N,MATCH(A11,'Identificación y Versiones'!$A:$A,0)),""))</f>
        <v/>
      </c>
      <c r="K11" s="11">
        <f>IF(A11="","",IFERROR(INDEX('Identificación y Versiones'!$O:$O,MATCH(A11,'Identificación y Versiones'!$A:$A,0)),""))</f>
        <v/>
      </c>
      <c r="L11" s="11">
        <f>IF(A11="","",IFERROR(INDEX('Identificación y Versiones'!$P:$P,MATCH(A11,'Identificación y Versiones'!$A:$A,0)),""))</f>
        <v/>
      </c>
      <c r="M11" s="11">
        <f>IF(A11="","",IFERROR(INDEX('Identificación y Versiones'!$Q:$Q,MATCH(A11,'Identificación y Versiones'!$A:$A,0)),""))</f>
        <v/>
      </c>
      <c r="N11" s="11">
        <f>IF(A11="","",IFERROR(INDEX('Identificación y Versiones'!$R:$R,MATCH(A11,'Identificación y Versiones'!$A:$A,0)),""))</f>
        <v/>
      </c>
      <c r="O11" s="11">
        <f>IF(A11="","",IFERROR(INDEX('Identificación y Versiones'!$S:$S,MATCH(A11,'Identificación y Versiones'!$A:$A,0)),""))</f>
        <v/>
      </c>
      <c r="P11" s="11">
        <f>IF(A11="","",IFERROR(INDEX('Identificación y Versiones'!$E:$E,MATCH(A11,'Identificación y Versiones'!$A:$A,0)),""))</f>
        <v/>
      </c>
      <c r="Q11" s="11">
        <f>IF(A11="","",IFERROR(INDEX('Identificación y Versiones'!$D:$D,MATCH(A11,'Identificación y Versiones'!$A:$A,0)),""))</f>
        <v/>
      </c>
      <c r="R11" s="11">
        <f>IF(A11="","",IFERROR(INDEX('Identificación y Versiones'!$L:$L,MATCH(A11,'Identificación y Versiones'!$A:$A,0)),""))</f>
        <v/>
      </c>
      <c r="S11" s="11">
        <f>IF(A11="","",COUNTIF('Casos de Prueba'!$B$2:$B$1000,A11))</f>
        <v/>
      </c>
      <c r="T11" s="11">
        <f>IF(A11="","",COUNTIFS('Casos de Prueba'!$B$2:$B$1000,A11,'Casos de Prueba'!$J$2:$J$1000,"&lt;&gt;Pendiente",'Casos de Prueba'!$J$2:$J$1000,"&lt;&gt;"))</f>
        <v/>
      </c>
      <c r="U11" s="11">
        <f>IF(A11="","",COUNTIFS('Casos de Prueba'!$B$2:$B$1000,A11,'Casos de Prueba'!$J$2:$J$1000,"Aprobado"))</f>
        <v/>
      </c>
      <c r="V11" s="11">
        <f>IF(A11="","",COUNTIFS('Casos de Prueba'!$B$2:$B$1000,A11,'Casos de Prueba'!$J$2:$J$1000,"Fallido"))</f>
        <v/>
      </c>
      <c r="W11" s="11">
        <f>IF(A11="","",COUNTIFS('Casos de Prueba'!$B$2:$B$1000,A11,'Casos de Prueba'!$J$2:$J$1000,"Bloqueado"))</f>
        <v/>
      </c>
      <c r="X11" s="11">
        <f>IF(A11="","",COUNTIFS('Casos de Prueba'!$B$2:$B$1000,A11,'Casos de Prueba'!$J$2:$J$1000,"Pendiente"))</f>
        <v/>
      </c>
      <c r="Y11" s="11">
        <f>IF(A11="","",COUNTIFS(Incidencias!$C$2:$C$1000,A11,Incidencias!$N$2:$N$1000,"&lt;&gt;Cerrado")-COUNTIFS(Incidencias!$C$2:$C$1000,A11,Incidencias!$N$2:$N$1000,""))</f>
        <v/>
      </c>
      <c r="Z11" s="15" t="n"/>
      <c r="AA11" s="15" t="n"/>
      <c r="AB11" s="15" t="n"/>
      <c r="AC11" s="15" t="n"/>
      <c r="AD11" s="13">
        <f>IF(A11="","","Resumen de visita — Sesión "&amp;A11&amp;CHAR(10)&amp;"Fecha de la visita: "&amp;C11&amp;CHAR(10)&amp;"Cliente / Comercio: "&amp;D11&amp;CHAR(10)&amp;"Máquina: "&amp;E11&amp;" "&amp;F11&amp;" (Serial: "&amp;G11&amp;")"&amp;CHAR(10)&amp;"POS: "&amp;H11&amp;" (Serial: "&amp;I11&amp;") — Firmware: "&amp;J11&amp;CHAR(10)&amp;"MDB: "&amp;K11&amp;" / "&amp;L11&amp;" / "&amp;M11&amp;CHAR(10)&amp;"Financiera: "&amp;N11&amp;"  |  Agente Polaris: "&amp;O11&amp;CHAR(10)&amp;"Participantes: "&amp;P11&amp;" (Responsable: "&amp;Q11&amp;")"&amp;CHAR(10)&amp;"Objetivo: "&amp;R11&amp;CHAR(10)&amp;CHAR(10)&amp;"Resultado de pruebas: "&amp;T11&amp;"/"&amp;S11&amp;" ejecutadas — Aprobadas: "&amp;U11&amp;", Fallidas: "&amp;V11&amp;", Bloqueadas: "&amp;W11&amp;", Pendientes: "&amp;X11&amp;CHAR(10)&amp;"Incidencias abiertas: "&amp;Y11&amp;CHAR(10)&amp;CHAR(10)&amp;"Concepto final: "&amp;AB11&amp;CHAR(10)&amp;"Pendientes: "&amp;AA11)</f>
        <v/>
      </c>
    </row>
    <row r="12">
      <c r="A12" s="15" t="n"/>
      <c r="B12" s="15" t="n"/>
      <c r="C12" s="11">
        <f>IF(A12="","",IFERROR(INDEX('Identificación y Versiones'!$B:$B,MATCH(A12,'Identificación y Versiones'!$A:$A,0)),""))</f>
        <v/>
      </c>
      <c r="D12" s="11">
        <f>IF(A12="","",IFERROR(INDEX('Identificación y Versiones'!$F:$F,MATCH(A12,'Identificación y Versiones'!$A:$A,0)),""))</f>
        <v/>
      </c>
      <c r="E12" s="11">
        <f>IF(A12="","",IFERROR(INDEX('Identificación y Versiones'!$G:$G,MATCH(A12,'Identificación y Versiones'!$A:$A,0)),""))</f>
        <v/>
      </c>
      <c r="F12" s="11">
        <f>IF(A12="","",IFERROR(INDEX('Identificación y Versiones'!$H:$H,MATCH(A12,'Identificación y Versiones'!$A:$A,0)),""))</f>
        <v/>
      </c>
      <c r="G12" s="11">
        <f>IF(A12="","",IFERROR(INDEX('Identificación y Versiones'!$I:$I,MATCH(A12,'Identificación y Versiones'!$A:$A,0)),""))</f>
        <v/>
      </c>
      <c r="H12" s="11">
        <f>IF(A12="","",IFERROR(INDEX('Identificación y Versiones'!$J:$J,MATCH(A12,'Identificación y Versiones'!$A:$A,0)),""))</f>
        <v/>
      </c>
      <c r="I12" s="11">
        <f>IF(A12="","",IFERROR(INDEX('Identificación y Versiones'!$K:$K,MATCH(A12,'Identificación y Versiones'!$A:$A,0)),""))</f>
        <v/>
      </c>
      <c r="J12" s="11">
        <f>IF(A12="","",IFERROR(INDEX('Identificación y Versiones'!$N:$N,MATCH(A12,'Identificación y Versiones'!$A:$A,0)),""))</f>
        <v/>
      </c>
      <c r="K12" s="11">
        <f>IF(A12="","",IFERROR(INDEX('Identificación y Versiones'!$O:$O,MATCH(A12,'Identificación y Versiones'!$A:$A,0)),""))</f>
        <v/>
      </c>
      <c r="L12" s="11">
        <f>IF(A12="","",IFERROR(INDEX('Identificación y Versiones'!$P:$P,MATCH(A12,'Identificación y Versiones'!$A:$A,0)),""))</f>
        <v/>
      </c>
      <c r="M12" s="11">
        <f>IF(A12="","",IFERROR(INDEX('Identificación y Versiones'!$Q:$Q,MATCH(A12,'Identificación y Versiones'!$A:$A,0)),""))</f>
        <v/>
      </c>
      <c r="N12" s="11">
        <f>IF(A12="","",IFERROR(INDEX('Identificación y Versiones'!$R:$R,MATCH(A12,'Identificación y Versiones'!$A:$A,0)),""))</f>
        <v/>
      </c>
      <c r="O12" s="11">
        <f>IF(A12="","",IFERROR(INDEX('Identificación y Versiones'!$S:$S,MATCH(A12,'Identificación y Versiones'!$A:$A,0)),""))</f>
        <v/>
      </c>
      <c r="P12" s="11">
        <f>IF(A12="","",IFERROR(INDEX('Identificación y Versiones'!$E:$E,MATCH(A12,'Identificación y Versiones'!$A:$A,0)),""))</f>
        <v/>
      </c>
      <c r="Q12" s="11">
        <f>IF(A12="","",IFERROR(INDEX('Identificación y Versiones'!$D:$D,MATCH(A12,'Identificación y Versiones'!$A:$A,0)),""))</f>
        <v/>
      </c>
      <c r="R12" s="11">
        <f>IF(A12="","",IFERROR(INDEX('Identificación y Versiones'!$L:$L,MATCH(A12,'Identificación y Versiones'!$A:$A,0)),""))</f>
        <v/>
      </c>
      <c r="S12" s="11">
        <f>IF(A12="","",COUNTIF('Casos de Prueba'!$B$2:$B$1000,A12))</f>
        <v/>
      </c>
      <c r="T12" s="11">
        <f>IF(A12="","",COUNTIFS('Casos de Prueba'!$B$2:$B$1000,A12,'Casos de Prueba'!$J$2:$J$1000,"&lt;&gt;Pendiente",'Casos de Prueba'!$J$2:$J$1000,"&lt;&gt;"))</f>
        <v/>
      </c>
      <c r="U12" s="11">
        <f>IF(A12="","",COUNTIFS('Casos de Prueba'!$B$2:$B$1000,A12,'Casos de Prueba'!$J$2:$J$1000,"Aprobado"))</f>
        <v/>
      </c>
      <c r="V12" s="11">
        <f>IF(A12="","",COUNTIFS('Casos de Prueba'!$B$2:$B$1000,A12,'Casos de Prueba'!$J$2:$J$1000,"Fallido"))</f>
        <v/>
      </c>
      <c r="W12" s="11">
        <f>IF(A12="","",COUNTIFS('Casos de Prueba'!$B$2:$B$1000,A12,'Casos de Prueba'!$J$2:$J$1000,"Bloqueado"))</f>
        <v/>
      </c>
      <c r="X12" s="11">
        <f>IF(A12="","",COUNTIFS('Casos de Prueba'!$B$2:$B$1000,A12,'Casos de Prueba'!$J$2:$J$1000,"Pendiente"))</f>
        <v/>
      </c>
      <c r="Y12" s="11">
        <f>IF(A12="","",COUNTIFS(Incidencias!$C$2:$C$1000,A12,Incidencias!$N$2:$N$1000,"&lt;&gt;Cerrado")-COUNTIFS(Incidencias!$C$2:$C$1000,A12,Incidencias!$N$2:$N$1000,""))</f>
        <v/>
      </c>
      <c r="Z12" s="15" t="n"/>
      <c r="AA12" s="15" t="n"/>
      <c r="AB12" s="15" t="n"/>
      <c r="AC12" s="15" t="n"/>
      <c r="AD12" s="13">
        <f>IF(A12="","","Resumen de visita — Sesión "&amp;A12&amp;CHAR(10)&amp;"Fecha de la visita: "&amp;C12&amp;CHAR(10)&amp;"Cliente / Comercio: "&amp;D12&amp;CHAR(10)&amp;"Máquina: "&amp;E12&amp;" "&amp;F12&amp;" (Serial: "&amp;G12&amp;")"&amp;CHAR(10)&amp;"POS: "&amp;H12&amp;" (Serial: "&amp;I12&amp;") — Firmware: "&amp;J12&amp;CHAR(10)&amp;"MDB: "&amp;K12&amp;" / "&amp;L12&amp;" / "&amp;M12&amp;CHAR(10)&amp;"Financiera: "&amp;N12&amp;"  |  Agente Polaris: "&amp;O12&amp;CHAR(10)&amp;"Participantes: "&amp;P12&amp;" (Responsable: "&amp;Q12&amp;")"&amp;CHAR(10)&amp;"Objetivo: "&amp;R12&amp;CHAR(10)&amp;CHAR(10)&amp;"Resultado de pruebas: "&amp;T12&amp;"/"&amp;S12&amp;" ejecutadas — Aprobadas: "&amp;U12&amp;", Fallidas: "&amp;V12&amp;", Bloqueadas: "&amp;W12&amp;", Pendientes: "&amp;X12&amp;CHAR(10)&amp;"Incidencias abiertas: "&amp;Y12&amp;CHAR(10)&amp;CHAR(10)&amp;"Concepto final: "&amp;AB12&amp;CHAR(10)&amp;"Pendientes: "&amp;AA12)</f>
        <v/>
      </c>
    </row>
    <row r="13">
      <c r="A13" s="15" t="n"/>
      <c r="B13" s="15" t="n"/>
      <c r="C13" s="11">
        <f>IF(A13="","",IFERROR(INDEX('Identificación y Versiones'!$B:$B,MATCH(A13,'Identificación y Versiones'!$A:$A,0)),""))</f>
        <v/>
      </c>
      <c r="D13" s="11">
        <f>IF(A13="","",IFERROR(INDEX('Identificación y Versiones'!$F:$F,MATCH(A13,'Identificación y Versiones'!$A:$A,0)),""))</f>
        <v/>
      </c>
      <c r="E13" s="11">
        <f>IF(A13="","",IFERROR(INDEX('Identificación y Versiones'!$G:$G,MATCH(A13,'Identificación y Versiones'!$A:$A,0)),""))</f>
        <v/>
      </c>
      <c r="F13" s="11">
        <f>IF(A13="","",IFERROR(INDEX('Identificación y Versiones'!$H:$H,MATCH(A13,'Identificación y Versiones'!$A:$A,0)),""))</f>
        <v/>
      </c>
      <c r="G13" s="11">
        <f>IF(A13="","",IFERROR(INDEX('Identificación y Versiones'!$I:$I,MATCH(A13,'Identificación y Versiones'!$A:$A,0)),""))</f>
        <v/>
      </c>
      <c r="H13" s="11">
        <f>IF(A13="","",IFERROR(INDEX('Identificación y Versiones'!$J:$J,MATCH(A13,'Identificación y Versiones'!$A:$A,0)),""))</f>
        <v/>
      </c>
      <c r="I13" s="11">
        <f>IF(A13="","",IFERROR(INDEX('Identificación y Versiones'!$K:$K,MATCH(A13,'Identificación y Versiones'!$A:$A,0)),""))</f>
        <v/>
      </c>
      <c r="J13" s="11">
        <f>IF(A13="","",IFERROR(INDEX('Identificación y Versiones'!$N:$N,MATCH(A13,'Identificación y Versiones'!$A:$A,0)),""))</f>
        <v/>
      </c>
      <c r="K13" s="11">
        <f>IF(A13="","",IFERROR(INDEX('Identificación y Versiones'!$O:$O,MATCH(A13,'Identificación y Versiones'!$A:$A,0)),""))</f>
        <v/>
      </c>
      <c r="L13" s="11">
        <f>IF(A13="","",IFERROR(INDEX('Identificación y Versiones'!$P:$P,MATCH(A13,'Identificación y Versiones'!$A:$A,0)),""))</f>
        <v/>
      </c>
      <c r="M13" s="11">
        <f>IF(A13="","",IFERROR(INDEX('Identificación y Versiones'!$Q:$Q,MATCH(A13,'Identificación y Versiones'!$A:$A,0)),""))</f>
        <v/>
      </c>
      <c r="N13" s="11">
        <f>IF(A13="","",IFERROR(INDEX('Identificación y Versiones'!$R:$R,MATCH(A13,'Identificación y Versiones'!$A:$A,0)),""))</f>
        <v/>
      </c>
      <c r="O13" s="11">
        <f>IF(A13="","",IFERROR(INDEX('Identificación y Versiones'!$S:$S,MATCH(A13,'Identificación y Versiones'!$A:$A,0)),""))</f>
        <v/>
      </c>
      <c r="P13" s="11">
        <f>IF(A13="","",IFERROR(INDEX('Identificación y Versiones'!$E:$E,MATCH(A13,'Identificación y Versiones'!$A:$A,0)),""))</f>
        <v/>
      </c>
      <c r="Q13" s="11">
        <f>IF(A13="","",IFERROR(INDEX('Identificación y Versiones'!$D:$D,MATCH(A13,'Identificación y Versiones'!$A:$A,0)),""))</f>
        <v/>
      </c>
      <c r="R13" s="11">
        <f>IF(A13="","",IFERROR(INDEX('Identificación y Versiones'!$L:$L,MATCH(A13,'Identificación y Versiones'!$A:$A,0)),""))</f>
        <v/>
      </c>
      <c r="S13" s="11">
        <f>IF(A13="","",COUNTIF('Casos de Prueba'!$B$2:$B$1000,A13))</f>
        <v/>
      </c>
      <c r="T13" s="11">
        <f>IF(A13="","",COUNTIFS('Casos de Prueba'!$B$2:$B$1000,A13,'Casos de Prueba'!$J$2:$J$1000,"&lt;&gt;Pendiente",'Casos de Prueba'!$J$2:$J$1000,"&lt;&gt;"))</f>
        <v/>
      </c>
      <c r="U13" s="11">
        <f>IF(A13="","",COUNTIFS('Casos de Prueba'!$B$2:$B$1000,A13,'Casos de Prueba'!$J$2:$J$1000,"Aprobado"))</f>
        <v/>
      </c>
      <c r="V13" s="11">
        <f>IF(A13="","",COUNTIFS('Casos de Prueba'!$B$2:$B$1000,A13,'Casos de Prueba'!$J$2:$J$1000,"Fallido"))</f>
        <v/>
      </c>
      <c r="W13" s="11">
        <f>IF(A13="","",COUNTIFS('Casos de Prueba'!$B$2:$B$1000,A13,'Casos de Prueba'!$J$2:$J$1000,"Bloqueado"))</f>
        <v/>
      </c>
      <c r="X13" s="11">
        <f>IF(A13="","",COUNTIFS('Casos de Prueba'!$B$2:$B$1000,A13,'Casos de Prueba'!$J$2:$J$1000,"Pendiente"))</f>
        <v/>
      </c>
      <c r="Y13" s="11">
        <f>IF(A13="","",COUNTIFS(Incidencias!$C$2:$C$1000,A13,Incidencias!$N$2:$N$1000,"&lt;&gt;Cerrado")-COUNTIFS(Incidencias!$C$2:$C$1000,A13,Incidencias!$N$2:$N$1000,""))</f>
        <v/>
      </c>
      <c r="Z13" s="15" t="n"/>
      <c r="AA13" s="15" t="n"/>
      <c r="AB13" s="15" t="n"/>
      <c r="AC13" s="15" t="n"/>
      <c r="AD13" s="13">
        <f>IF(A13="","","Resumen de visita — Sesión "&amp;A13&amp;CHAR(10)&amp;"Fecha de la visita: "&amp;C13&amp;CHAR(10)&amp;"Cliente / Comercio: "&amp;D13&amp;CHAR(10)&amp;"Máquina: "&amp;E13&amp;" "&amp;F13&amp;" (Serial: "&amp;G13&amp;")"&amp;CHAR(10)&amp;"POS: "&amp;H13&amp;" (Serial: "&amp;I13&amp;") — Firmware: "&amp;J13&amp;CHAR(10)&amp;"MDB: "&amp;K13&amp;" / "&amp;L13&amp;" / "&amp;M13&amp;CHAR(10)&amp;"Financiera: "&amp;N13&amp;"  |  Agente Polaris: "&amp;O13&amp;CHAR(10)&amp;"Participantes: "&amp;P13&amp;" (Responsable: "&amp;Q13&amp;")"&amp;CHAR(10)&amp;"Objetivo: "&amp;R13&amp;CHAR(10)&amp;CHAR(10)&amp;"Resultado de pruebas: "&amp;T13&amp;"/"&amp;S13&amp;" ejecutadas — Aprobadas: "&amp;U13&amp;", Fallidas: "&amp;V13&amp;", Bloqueadas: "&amp;W13&amp;", Pendientes: "&amp;X13&amp;CHAR(10)&amp;"Incidencias abiertas: "&amp;Y13&amp;CHAR(10)&amp;CHAR(10)&amp;"Concepto final: "&amp;AB13&amp;CHAR(10)&amp;"Pendientes: "&amp;AA13)</f>
        <v/>
      </c>
    </row>
    <row r="14">
      <c r="A14" s="15" t="n"/>
      <c r="B14" s="15" t="n"/>
      <c r="C14" s="11">
        <f>IF(A14="","",IFERROR(INDEX('Identificación y Versiones'!$B:$B,MATCH(A14,'Identificación y Versiones'!$A:$A,0)),""))</f>
        <v/>
      </c>
      <c r="D14" s="11">
        <f>IF(A14="","",IFERROR(INDEX('Identificación y Versiones'!$F:$F,MATCH(A14,'Identificación y Versiones'!$A:$A,0)),""))</f>
        <v/>
      </c>
      <c r="E14" s="11">
        <f>IF(A14="","",IFERROR(INDEX('Identificación y Versiones'!$G:$G,MATCH(A14,'Identificación y Versiones'!$A:$A,0)),""))</f>
        <v/>
      </c>
      <c r="F14" s="11">
        <f>IF(A14="","",IFERROR(INDEX('Identificación y Versiones'!$H:$H,MATCH(A14,'Identificación y Versiones'!$A:$A,0)),""))</f>
        <v/>
      </c>
      <c r="G14" s="11">
        <f>IF(A14="","",IFERROR(INDEX('Identificación y Versiones'!$I:$I,MATCH(A14,'Identificación y Versiones'!$A:$A,0)),""))</f>
        <v/>
      </c>
      <c r="H14" s="11">
        <f>IF(A14="","",IFERROR(INDEX('Identificación y Versiones'!$J:$J,MATCH(A14,'Identificación y Versiones'!$A:$A,0)),""))</f>
        <v/>
      </c>
      <c r="I14" s="11">
        <f>IF(A14="","",IFERROR(INDEX('Identificación y Versiones'!$K:$K,MATCH(A14,'Identificación y Versiones'!$A:$A,0)),""))</f>
        <v/>
      </c>
      <c r="J14" s="11">
        <f>IF(A14="","",IFERROR(INDEX('Identificación y Versiones'!$N:$N,MATCH(A14,'Identificación y Versiones'!$A:$A,0)),""))</f>
        <v/>
      </c>
      <c r="K14" s="11">
        <f>IF(A14="","",IFERROR(INDEX('Identificación y Versiones'!$O:$O,MATCH(A14,'Identificación y Versiones'!$A:$A,0)),""))</f>
        <v/>
      </c>
      <c r="L14" s="11">
        <f>IF(A14="","",IFERROR(INDEX('Identificación y Versiones'!$P:$P,MATCH(A14,'Identificación y Versiones'!$A:$A,0)),""))</f>
        <v/>
      </c>
      <c r="M14" s="11">
        <f>IF(A14="","",IFERROR(INDEX('Identificación y Versiones'!$Q:$Q,MATCH(A14,'Identificación y Versiones'!$A:$A,0)),""))</f>
        <v/>
      </c>
      <c r="N14" s="11">
        <f>IF(A14="","",IFERROR(INDEX('Identificación y Versiones'!$R:$R,MATCH(A14,'Identificación y Versiones'!$A:$A,0)),""))</f>
        <v/>
      </c>
      <c r="O14" s="11">
        <f>IF(A14="","",IFERROR(INDEX('Identificación y Versiones'!$S:$S,MATCH(A14,'Identificación y Versiones'!$A:$A,0)),""))</f>
        <v/>
      </c>
      <c r="P14" s="11">
        <f>IF(A14="","",IFERROR(INDEX('Identificación y Versiones'!$E:$E,MATCH(A14,'Identificación y Versiones'!$A:$A,0)),""))</f>
        <v/>
      </c>
      <c r="Q14" s="11">
        <f>IF(A14="","",IFERROR(INDEX('Identificación y Versiones'!$D:$D,MATCH(A14,'Identificación y Versiones'!$A:$A,0)),""))</f>
        <v/>
      </c>
      <c r="R14" s="11">
        <f>IF(A14="","",IFERROR(INDEX('Identificación y Versiones'!$L:$L,MATCH(A14,'Identificación y Versiones'!$A:$A,0)),""))</f>
        <v/>
      </c>
      <c r="S14" s="11">
        <f>IF(A14="","",COUNTIF('Casos de Prueba'!$B$2:$B$1000,A14))</f>
        <v/>
      </c>
      <c r="T14" s="11">
        <f>IF(A14="","",COUNTIFS('Casos de Prueba'!$B$2:$B$1000,A14,'Casos de Prueba'!$J$2:$J$1000,"&lt;&gt;Pendiente",'Casos de Prueba'!$J$2:$J$1000,"&lt;&gt;"))</f>
        <v/>
      </c>
      <c r="U14" s="11">
        <f>IF(A14="","",COUNTIFS('Casos de Prueba'!$B$2:$B$1000,A14,'Casos de Prueba'!$J$2:$J$1000,"Aprobado"))</f>
        <v/>
      </c>
      <c r="V14" s="11">
        <f>IF(A14="","",COUNTIFS('Casos de Prueba'!$B$2:$B$1000,A14,'Casos de Prueba'!$J$2:$J$1000,"Fallido"))</f>
        <v/>
      </c>
      <c r="W14" s="11">
        <f>IF(A14="","",COUNTIFS('Casos de Prueba'!$B$2:$B$1000,A14,'Casos de Prueba'!$J$2:$J$1000,"Bloqueado"))</f>
        <v/>
      </c>
      <c r="X14" s="11">
        <f>IF(A14="","",COUNTIFS('Casos de Prueba'!$B$2:$B$1000,A14,'Casos de Prueba'!$J$2:$J$1000,"Pendiente"))</f>
        <v/>
      </c>
      <c r="Y14" s="11">
        <f>IF(A14="","",COUNTIFS(Incidencias!$C$2:$C$1000,A14,Incidencias!$N$2:$N$1000,"&lt;&gt;Cerrado")-COUNTIFS(Incidencias!$C$2:$C$1000,A14,Incidencias!$N$2:$N$1000,""))</f>
        <v/>
      </c>
      <c r="Z14" s="15" t="n"/>
      <c r="AA14" s="15" t="n"/>
      <c r="AB14" s="15" t="n"/>
      <c r="AC14" s="15" t="n"/>
      <c r="AD14" s="13">
        <f>IF(A14="","","Resumen de visita — Sesión "&amp;A14&amp;CHAR(10)&amp;"Fecha de la visita: "&amp;C14&amp;CHAR(10)&amp;"Cliente / Comercio: "&amp;D14&amp;CHAR(10)&amp;"Máquina: "&amp;E14&amp;" "&amp;F14&amp;" (Serial: "&amp;G14&amp;")"&amp;CHAR(10)&amp;"POS: "&amp;H14&amp;" (Serial: "&amp;I14&amp;") — Firmware: "&amp;J14&amp;CHAR(10)&amp;"MDB: "&amp;K14&amp;" / "&amp;L14&amp;" / "&amp;M14&amp;CHAR(10)&amp;"Financiera: "&amp;N14&amp;"  |  Agente Polaris: "&amp;O14&amp;CHAR(10)&amp;"Participantes: "&amp;P14&amp;" (Responsable: "&amp;Q14&amp;")"&amp;CHAR(10)&amp;"Objetivo: "&amp;R14&amp;CHAR(10)&amp;CHAR(10)&amp;"Resultado de pruebas: "&amp;T14&amp;"/"&amp;S14&amp;" ejecutadas — Aprobadas: "&amp;U14&amp;", Fallidas: "&amp;V14&amp;", Bloqueadas: "&amp;W14&amp;", Pendientes: "&amp;X14&amp;CHAR(10)&amp;"Incidencias abiertas: "&amp;Y14&amp;CHAR(10)&amp;CHAR(10)&amp;"Concepto final: "&amp;AB14&amp;CHAR(10)&amp;"Pendientes: "&amp;AA14)</f>
        <v/>
      </c>
    </row>
    <row r="15">
      <c r="A15" s="15" t="n"/>
      <c r="B15" s="15" t="n"/>
      <c r="C15" s="11">
        <f>IF(A15="","",IFERROR(INDEX('Identificación y Versiones'!$B:$B,MATCH(A15,'Identificación y Versiones'!$A:$A,0)),""))</f>
        <v/>
      </c>
      <c r="D15" s="11">
        <f>IF(A15="","",IFERROR(INDEX('Identificación y Versiones'!$F:$F,MATCH(A15,'Identificación y Versiones'!$A:$A,0)),""))</f>
        <v/>
      </c>
      <c r="E15" s="11">
        <f>IF(A15="","",IFERROR(INDEX('Identificación y Versiones'!$G:$G,MATCH(A15,'Identificación y Versiones'!$A:$A,0)),""))</f>
        <v/>
      </c>
      <c r="F15" s="11">
        <f>IF(A15="","",IFERROR(INDEX('Identificación y Versiones'!$H:$H,MATCH(A15,'Identificación y Versiones'!$A:$A,0)),""))</f>
        <v/>
      </c>
      <c r="G15" s="11">
        <f>IF(A15="","",IFERROR(INDEX('Identificación y Versiones'!$I:$I,MATCH(A15,'Identificación y Versiones'!$A:$A,0)),""))</f>
        <v/>
      </c>
      <c r="H15" s="11">
        <f>IF(A15="","",IFERROR(INDEX('Identificación y Versiones'!$J:$J,MATCH(A15,'Identificación y Versiones'!$A:$A,0)),""))</f>
        <v/>
      </c>
      <c r="I15" s="11">
        <f>IF(A15="","",IFERROR(INDEX('Identificación y Versiones'!$K:$K,MATCH(A15,'Identificación y Versiones'!$A:$A,0)),""))</f>
        <v/>
      </c>
      <c r="J15" s="11">
        <f>IF(A15="","",IFERROR(INDEX('Identificación y Versiones'!$N:$N,MATCH(A15,'Identificación y Versiones'!$A:$A,0)),""))</f>
        <v/>
      </c>
      <c r="K15" s="11">
        <f>IF(A15="","",IFERROR(INDEX('Identificación y Versiones'!$O:$O,MATCH(A15,'Identificación y Versiones'!$A:$A,0)),""))</f>
        <v/>
      </c>
      <c r="L15" s="11">
        <f>IF(A15="","",IFERROR(INDEX('Identificación y Versiones'!$P:$P,MATCH(A15,'Identificación y Versiones'!$A:$A,0)),""))</f>
        <v/>
      </c>
      <c r="M15" s="11">
        <f>IF(A15="","",IFERROR(INDEX('Identificación y Versiones'!$Q:$Q,MATCH(A15,'Identificación y Versiones'!$A:$A,0)),""))</f>
        <v/>
      </c>
      <c r="N15" s="11">
        <f>IF(A15="","",IFERROR(INDEX('Identificación y Versiones'!$R:$R,MATCH(A15,'Identificación y Versiones'!$A:$A,0)),""))</f>
        <v/>
      </c>
      <c r="O15" s="11">
        <f>IF(A15="","",IFERROR(INDEX('Identificación y Versiones'!$S:$S,MATCH(A15,'Identificación y Versiones'!$A:$A,0)),""))</f>
        <v/>
      </c>
      <c r="P15" s="11">
        <f>IF(A15="","",IFERROR(INDEX('Identificación y Versiones'!$E:$E,MATCH(A15,'Identificación y Versiones'!$A:$A,0)),""))</f>
        <v/>
      </c>
      <c r="Q15" s="11">
        <f>IF(A15="","",IFERROR(INDEX('Identificación y Versiones'!$D:$D,MATCH(A15,'Identificación y Versiones'!$A:$A,0)),""))</f>
        <v/>
      </c>
      <c r="R15" s="11">
        <f>IF(A15="","",IFERROR(INDEX('Identificación y Versiones'!$L:$L,MATCH(A15,'Identificación y Versiones'!$A:$A,0)),""))</f>
        <v/>
      </c>
      <c r="S15" s="11">
        <f>IF(A15="","",COUNTIF('Casos de Prueba'!$B$2:$B$1000,A15))</f>
        <v/>
      </c>
      <c r="T15" s="11">
        <f>IF(A15="","",COUNTIFS('Casos de Prueba'!$B$2:$B$1000,A15,'Casos de Prueba'!$J$2:$J$1000,"&lt;&gt;Pendiente",'Casos de Prueba'!$J$2:$J$1000,"&lt;&gt;"))</f>
        <v/>
      </c>
      <c r="U15" s="11">
        <f>IF(A15="","",COUNTIFS('Casos de Prueba'!$B$2:$B$1000,A15,'Casos de Prueba'!$J$2:$J$1000,"Aprobado"))</f>
        <v/>
      </c>
      <c r="V15" s="11">
        <f>IF(A15="","",COUNTIFS('Casos de Prueba'!$B$2:$B$1000,A15,'Casos de Prueba'!$J$2:$J$1000,"Fallido"))</f>
        <v/>
      </c>
      <c r="W15" s="11">
        <f>IF(A15="","",COUNTIFS('Casos de Prueba'!$B$2:$B$1000,A15,'Casos de Prueba'!$J$2:$J$1000,"Bloqueado"))</f>
        <v/>
      </c>
      <c r="X15" s="11">
        <f>IF(A15="","",COUNTIFS('Casos de Prueba'!$B$2:$B$1000,A15,'Casos de Prueba'!$J$2:$J$1000,"Pendiente"))</f>
        <v/>
      </c>
      <c r="Y15" s="11">
        <f>IF(A15="","",COUNTIFS(Incidencias!$C$2:$C$1000,A15,Incidencias!$N$2:$N$1000,"&lt;&gt;Cerrado")-COUNTIFS(Incidencias!$C$2:$C$1000,A15,Incidencias!$N$2:$N$1000,""))</f>
        <v/>
      </c>
      <c r="Z15" s="15" t="n"/>
      <c r="AA15" s="15" t="n"/>
      <c r="AB15" s="15" t="n"/>
      <c r="AC15" s="15" t="n"/>
      <c r="AD15" s="13">
        <f>IF(A15="","","Resumen de visita — Sesión "&amp;A15&amp;CHAR(10)&amp;"Fecha de la visita: "&amp;C15&amp;CHAR(10)&amp;"Cliente / Comercio: "&amp;D15&amp;CHAR(10)&amp;"Máquina: "&amp;E15&amp;" "&amp;F15&amp;" (Serial: "&amp;G15&amp;")"&amp;CHAR(10)&amp;"POS: "&amp;H15&amp;" (Serial: "&amp;I15&amp;") — Firmware: "&amp;J15&amp;CHAR(10)&amp;"MDB: "&amp;K15&amp;" / "&amp;L15&amp;" / "&amp;M15&amp;CHAR(10)&amp;"Financiera: "&amp;N15&amp;"  |  Agente Polaris: "&amp;O15&amp;CHAR(10)&amp;"Participantes: "&amp;P15&amp;" (Responsable: "&amp;Q15&amp;")"&amp;CHAR(10)&amp;"Objetivo: "&amp;R15&amp;CHAR(10)&amp;CHAR(10)&amp;"Resultado de pruebas: "&amp;T15&amp;"/"&amp;S15&amp;" ejecutadas — Aprobadas: "&amp;U15&amp;", Fallidas: "&amp;V15&amp;", Bloqueadas: "&amp;W15&amp;", Pendientes: "&amp;X15&amp;CHAR(10)&amp;"Incidencias abiertas: "&amp;Y15&amp;CHAR(10)&amp;CHAR(10)&amp;"Concepto final: "&amp;AB15&amp;CHAR(10)&amp;"Pendientes: "&amp;AA15)</f>
        <v/>
      </c>
    </row>
    <row r="16">
      <c r="A16" s="15" t="n"/>
      <c r="B16" s="15" t="n"/>
      <c r="C16" s="11">
        <f>IF(A16="","",IFERROR(INDEX('Identificación y Versiones'!$B:$B,MATCH(A16,'Identificación y Versiones'!$A:$A,0)),""))</f>
        <v/>
      </c>
      <c r="D16" s="11">
        <f>IF(A16="","",IFERROR(INDEX('Identificación y Versiones'!$F:$F,MATCH(A16,'Identificación y Versiones'!$A:$A,0)),""))</f>
        <v/>
      </c>
      <c r="E16" s="11">
        <f>IF(A16="","",IFERROR(INDEX('Identificación y Versiones'!$G:$G,MATCH(A16,'Identificación y Versiones'!$A:$A,0)),""))</f>
        <v/>
      </c>
      <c r="F16" s="11">
        <f>IF(A16="","",IFERROR(INDEX('Identificación y Versiones'!$H:$H,MATCH(A16,'Identificación y Versiones'!$A:$A,0)),""))</f>
        <v/>
      </c>
      <c r="G16" s="11">
        <f>IF(A16="","",IFERROR(INDEX('Identificación y Versiones'!$I:$I,MATCH(A16,'Identificación y Versiones'!$A:$A,0)),""))</f>
        <v/>
      </c>
      <c r="H16" s="11">
        <f>IF(A16="","",IFERROR(INDEX('Identificación y Versiones'!$J:$J,MATCH(A16,'Identificación y Versiones'!$A:$A,0)),""))</f>
        <v/>
      </c>
      <c r="I16" s="11">
        <f>IF(A16="","",IFERROR(INDEX('Identificación y Versiones'!$K:$K,MATCH(A16,'Identificación y Versiones'!$A:$A,0)),""))</f>
        <v/>
      </c>
      <c r="J16" s="11">
        <f>IF(A16="","",IFERROR(INDEX('Identificación y Versiones'!$N:$N,MATCH(A16,'Identificación y Versiones'!$A:$A,0)),""))</f>
        <v/>
      </c>
      <c r="K16" s="11">
        <f>IF(A16="","",IFERROR(INDEX('Identificación y Versiones'!$O:$O,MATCH(A16,'Identificación y Versiones'!$A:$A,0)),""))</f>
        <v/>
      </c>
      <c r="L16" s="11">
        <f>IF(A16="","",IFERROR(INDEX('Identificación y Versiones'!$P:$P,MATCH(A16,'Identificación y Versiones'!$A:$A,0)),""))</f>
        <v/>
      </c>
      <c r="M16" s="11">
        <f>IF(A16="","",IFERROR(INDEX('Identificación y Versiones'!$Q:$Q,MATCH(A16,'Identificación y Versiones'!$A:$A,0)),""))</f>
        <v/>
      </c>
      <c r="N16" s="11">
        <f>IF(A16="","",IFERROR(INDEX('Identificación y Versiones'!$R:$R,MATCH(A16,'Identificación y Versiones'!$A:$A,0)),""))</f>
        <v/>
      </c>
      <c r="O16" s="11">
        <f>IF(A16="","",IFERROR(INDEX('Identificación y Versiones'!$S:$S,MATCH(A16,'Identificación y Versiones'!$A:$A,0)),""))</f>
        <v/>
      </c>
      <c r="P16" s="11">
        <f>IF(A16="","",IFERROR(INDEX('Identificación y Versiones'!$E:$E,MATCH(A16,'Identificación y Versiones'!$A:$A,0)),""))</f>
        <v/>
      </c>
      <c r="Q16" s="11">
        <f>IF(A16="","",IFERROR(INDEX('Identificación y Versiones'!$D:$D,MATCH(A16,'Identificación y Versiones'!$A:$A,0)),""))</f>
        <v/>
      </c>
      <c r="R16" s="11">
        <f>IF(A16="","",IFERROR(INDEX('Identificación y Versiones'!$L:$L,MATCH(A16,'Identificación y Versiones'!$A:$A,0)),""))</f>
        <v/>
      </c>
      <c r="S16" s="11">
        <f>IF(A16="","",COUNTIF('Casos de Prueba'!$B$2:$B$1000,A16))</f>
        <v/>
      </c>
      <c r="T16" s="11">
        <f>IF(A16="","",COUNTIFS('Casos de Prueba'!$B$2:$B$1000,A16,'Casos de Prueba'!$J$2:$J$1000,"&lt;&gt;Pendiente",'Casos de Prueba'!$J$2:$J$1000,"&lt;&gt;"))</f>
        <v/>
      </c>
      <c r="U16" s="11">
        <f>IF(A16="","",COUNTIFS('Casos de Prueba'!$B$2:$B$1000,A16,'Casos de Prueba'!$J$2:$J$1000,"Aprobado"))</f>
        <v/>
      </c>
      <c r="V16" s="11">
        <f>IF(A16="","",COUNTIFS('Casos de Prueba'!$B$2:$B$1000,A16,'Casos de Prueba'!$J$2:$J$1000,"Fallido"))</f>
        <v/>
      </c>
      <c r="W16" s="11">
        <f>IF(A16="","",COUNTIFS('Casos de Prueba'!$B$2:$B$1000,A16,'Casos de Prueba'!$J$2:$J$1000,"Bloqueado"))</f>
        <v/>
      </c>
      <c r="X16" s="11">
        <f>IF(A16="","",COUNTIFS('Casos de Prueba'!$B$2:$B$1000,A16,'Casos de Prueba'!$J$2:$J$1000,"Pendiente"))</f>
        <v/>
      </c>
      <c r="Y16" s="11">
        <f>IF(A16="","",COUNTIFS(Incidencias!$C$2:$C$1000,A16,Incidencias!$N$2:$N$1000,"&lt;&gt;Cerrado")-COUNTIFS(Incidencias!$C$2:$C$1000,A16,Incidencias!$N$2:$N$1000,""))</f>
        <v/>
      </c>
      <c r="Z16" s="15" t="n"/>
      <c r="AA16" s="15" t="n"/>
      <c r="AB16" s="15" t="n"/>
      <c r="AC16" s="15" t="n"/>
      <c r="AD16" s="13">
        <f>IF(A16="","","Resumen de visita — Sesión "&amp;A16&amp;CHAR(10)&amp;"Fecha de la visita: "&amp;C16&amp;CHAR(10)&amp;"Cliente / Comercio: "&amp;D16&amp;CHAR(10)&amp;"Máquina: "&amp;E16&amp;" "&amp;F16&amp;" (Serial: "&amp;G16&amp;")"&amp;CHAR(10)&amp;"POS: "&amp;H16&amp;" (Serial: "&amp;I16&amp;") — Firmware: "&amp;J16&amp;CHAR(10)&amp;"MDB: "&amp;K16&amp;" / "&amp;L16&amp;" / "&amp;M16&amp;CHAR(10)&amp;"Financiera: "&amp;N16&amp;"  |  Agente Polaris: "&amp;O16&amp;CHAR(10)&amp;"Participantes: "&amp;P16&amp;" (Responsable: "&amp;Q16&amp;")"&amp;CHAR(10)&amp;"Objetivo: "&amp;R16&amp;CHAR(10)&amp;CHAR(10)&amp;"Resultado de pruebas: "&amp;T16&amp;"/"&amp;S16&amp;" ejecutadas — Aprobadas: "&amp;U16&amp;", Fallidas: "&amp;V16&amp;", Bloqueadas: "&amp;W16&amp;", Pendientes: "&amp;X16&amp;CHAR(10)&amp;"Incidencias abiertas: "&amp;Y16&amp;CHAR(10)&amp;CHAR(10)&amp;"Concepto final: "&amp;AB16&amp;CHAR(10)&amp;"Pendientes: "&amp;AA16)</f>
        <v/>
      </c>
    </row>
    <row r="17">
      <c r="A17" s="15" t="n"/>
      <c r="B17" s="15" t="n"/>
      <c r="C17" s="11">
        <f>IF(A17="","",IFERROR(INDEX('Identificación y Versiones'!$B:$B,MATCH(A17,'Identificación y Versiones'!$A:$A,0)),""))</f>
        <v/>
      </c>
      <c r="D17" s="11">
        <f>IF(A17="","",IFERROR(INDEX('Identificación y Versiones'!$F:$F,MATCH(A17,'Identificación y Versiones'!$A:$A,0)),""))</f>
        <v/>
      </c>
      <c r="E17" s="11">
        <f>IF(A17="","",IFERROR(INDEX('Identificación y Versiones'!$G:$G,MATCH(A17,'Identificación y Versiones'!$A:$A,0)),""))</f>
        <v/>
      </c>
      <c r="F17" s="11">
        <f>IF(A17="","",IFERROR(INDEX('Identificación y Versiones'!$H:$H,MATCH(A17,'Identificación y Versiones'!$A:$A,0)),""))</f>
        <v/>
      </c>
      <c r="G17" s="11">
        <f>IF(A17="","",IFERROR(INDEX('Identificación y Versiones'!$I:$I,MATCH(A17,'Identificación y Versiones'!$A:$A,0)),""))</f>
        <v/>
      </c>
      <c r="H17" s="11">
        <f>IF(A17="","",IFERROR(INDEX('Identificación y Versiones'!$J:$J,MATCH(A17,'Identificación y Versiones'!$A:$A,0)),""))</f>
        <v/>
      </c>
      <c r="I17" s="11">
        <f>IF(A17="","",IFERROR(INDEX('Identificación y Versiones'!$K:$K,MATCH(A17,'Identificación y Versiones'!$A:$A,0)),""))</f>
        <v/>
      </c>
      <c r="J17" s="11">
        <f>IF(A17="","",IFERROR(INDEX('Identificación y Versiones'!$N:$N,MATCH(A17,'Identificación y Versiones'!$A:$A,0)),""))</f>
        <v/>
      </c>
      <c r="K17" s="11">
        <f>IF(A17="","",IFERROR(INDEX('Identificación y Versiones'!$O:$O,MATCH(A17,'Identificación y Versiones'!$A:$A,0)),""))</f>
        <v/>
      </c>
      <c r="L17" s="11">
        <f>IF(A17="","",IFERROR(INDEX('Identificación y Versiones'!$P:$P,MATCH(A17,'Identificación y Versiones'!$A:$A,0)),""))</f>
        <v/>
      </c>
      <c r="M17" s="11">
        <f>IF(A17="","",IFERROR(INDEX('Identificación y Versiones'!$Q:$Q,MATCH(A17,'Identificación y Versiones'!$A:$A,0)),""))</f>
        <v/>
      </c>
      <c r="N17" s="11">
        <f>IF(A17="","",IFERROR(INDEX('Identificación y Versiones'!$R:$R,MATCH(A17,'Identificación y Versiones'!$A:$A,0)),""))</f>
        <v/>
      </c>
      <c r="O17" s="11">
        <f>IF(A17="","",IFERROR(INDEX('Identificación y Versiones'!$S:$S,MATCH(A17,'Identificación y Versiones'!$A:$A,0)),""))</f>
        <v/>
      </c>
      <c r="P17" s="11">
        <f>IF(A17="","",IFERROR(INDEX('Identificación y Versiones'!$E:$E,MATCH(A17,'Identificación y Versiones'!$A:$A,0)),""))</f>
        <v/>
      </c>
      <c r="Q17" s="11">
        <f>IF(A17="","",IFERROR(INDEX('Identificación y Versiones'!$D:$D,MATCH(A17,'Identificación y Versiones'!$A:$A,0)),""))</f>
        <v/>
      </c>
      <c r="R17" s="11">
        <f>IF(A17="","",IFERROR(INDEX('Identificación y Versiones'!$L:$L,MATCH(A17,'Identificación y Versiones'!$A:$A,0)),""))</f>
        <v/>
      </c>
      <c r="S17" s="11">
        <f>IF(A17="","",COUNTIF('Casos de Prueba'!$B$2:$B$1000,A17))</f>
        <v/>
      </c>
      <c r="T17" s="11">
        <f>IF(A17="","",COUNTIFS('Casos de Prueba'!$B$2:$B$1000,A17,'Casos de Prueba'!$J$2:$J$1000,"&lt;&gt;Pendiente",'Casos de Prueba'!$J$2:$J$1000,"&lt;&gt;"))</f>
        <v/>
      </c>
      <c r="U17" s="11">
        <f>IF(A17="","",COUNTIFS('Casos de Prueba'!$B$2:$B$1000,A17,'Casos de Prueba'!$J$2:$J$1000,"Aprobado"))</f>
        <v/>
      </c>
      <c r="V17" s="11">
        <f>IF(A17="","",COUNTIFS('Casos de Prueba'!$B$2:$B$1000,A17,'Casos de Prueba'!$J$2:$J$1000,"Fallido"))</f>
        <v/>
      </c>
      <c r="W17" s="11">
        <f>IF(A17="","",COUNTIFS('Casos de Prueba'!$B$2:$B$1000,A17,'Casos de Prueba'!$J$2:$J$1000,"Bloqueado"))</f>
        <v/>
      </c>
      <c r="X17" s="11">
        <f>IF(A17="","",COUNTIFS('Casos de Prueba'!$B$2:$B$1000,A17,'Casos de Prueba'!$J$2:$J$1000,"Pendiente"))</f>
        <v/>
      </c>
      <c r="Y17" s="11">
        <f>IF(A17="","",COUNTIFS(Incidencias!$C$2:$C$1000,A17,Incidencias!$N$2:$N$1000,"&lt;&gt;Cerrado")-COUNTIFS(Incidencias!$C$2:$C$1000,A17,Incidencias!$N$2:$N$1000,""))</f>
        <v/>
      </c>
      <c r="Z17" s="15" t="n"/>
      <c r="AA17" s="15" t="n"/>
      <c r="AB17" s="15" t="n"/>
      <c r="AC17" s="15" t="n"/>
      <c r="AD17" s="13">
        <f>IF(A17="","","Resumen de visita — Sesión "&amp;A17&amp;CHAR(10)&amp;"Fecha de la visita: "&amp;C17&amp;CHAR(10)&amp;"Cliente / Comercio: "&amp;D17&amp;CHAR(10)&amp;"Máquina: "&amp;E17&amp;" "&amp;F17&amp;" (Serial: "&amp;G17&amp;")"&amp;CHAR(10)&amp;"POS: "&amp;H17&amp;" (Serial: "&amp;I17&amp;") — Firmware: "&amp;J17&amp;CHAR(10)&amp;"MDB: "&amp;K17&amp;" / "&amp;L17&amp;" / "&amp;M17&amp;CHAR(10)&amp;"Financiera: "&amp;N17&amp;"  |  Agente Polaris: "&amp;O17&amp;CHAR(10)&amp;"Participantes: "&amp;P17&amp;" (Responsable: "&amp;Q17&amp;")"&amp;CHAR(10)&amp;"Objetivo: "&amp;R17&amp;CHAR(10)&amp;CHAR(10)&amp;"Resultado de pruebas: "&amp;T17&amp;"/"&amp;S17&amp;" ejecutadas — Aprobadas: "&amp;U17&amp;", Fallidas: "&amp;V17&amp;", Bloqueadas: "&amp;W17&amp;", Pendientes: "&amp;X17&amp;CHAR(10)&amp;"Incidencias abiertas: "&amp;Y17&amp;CHAR(10)&amp;CHAR(10)&amp;"Concepto final: "&amp;AB17&amp;CHAR(10)&amp;"Pendientes: "&amp;AA17)</f>
        <v/>
      </c>
    </row>
    <row r="18">
      <c r="A18" s="15" t="n"/>
      <c r="B18" s="15" t="n"/>
      <c r="C18" s="11">
        <f>IF(A18="","",IFERROR(INDEX('Identificación y Versiones'!$B:$B,MATCH(A18,'Identificación y Versiones'!$A:$A,0)),""))</f>
        <v/>
      </c>
      <c r="D18" s="11">
        <f>IF(A18="","",IFERROR(INDEX('Identificación y Versiones'!$F:$F,MATCH(A18,'Identificación y Versiones'!$A:$A,0)),""))</f>
        <v/>
      </c>
      <c r="E18" s="11">
        <f>IF(A18="","",IFERROR(INDEX('Identificación y Versiones'!$G:$G,MATCH(A18,'Identificación y Versiones'!$A:$A,0)),""))</f>
        <v/>
      </c>
      <c r="F18" s="11">
        <f>IF(A18="","",IFERROR(INDEX('Identificación y Versiones'!$H:$H,MATCH(A18,'Identificación y Versiones'!$A:$A,0)),""))</f>
        <v/>
      </c>
      <c r="G18" s="11">
        <f>IF(A18="","",IFERROR(INDEX('Identificación y Versiones'!$I:$I,MATCH(A18,'Identificación y Versiones'!$A:$A,0)),""))</f>
        <v/>
      </c>
      <c r="H18" s="11">
        <f>IF(A18="","",IFERROR(INDEX('Identificación y Versiones'!$J:$J,MATCH(A18,'Identificación y Versiones'!$A:$A,0)),""))</f>
        <v/>
      </c>
      <c r="I18" s="11">
        <f>IF(A18="","",IFERROR(INDEX('Identificación y Versiones'!$K:$K,MATCH(A18,'Identificación y Versiones'!$A:$A,0)),""))</f>
        <v/>
      </c>
      <c r="J18" s="11">
        <f>IF(A18="","",IFERROR(INDEX('Identificación y Versiones'!$N:$N,MATCH(A18,'Identificación y Versiones'!$A:$A,0)),""))</f>
        <v/>
      </c>
      <c r="K18" s="11">
        <f>IF(A18="","",IFERROR(INDEX('Identificación y Versiones'!$O:$O,MATCH(A18,'Identificación y Versiones'!$A:$A,0)),""))</f>
        <v/>
      </c>
      <c r="L18" s="11">
        <f>IF(A18="","",IFERROR(INDEX('Identificación y Versiones'!$P:$P,MATCH(A18,'Identificación y Versiones'!$A:$A,0)),""))</f>
        <v/>
      </c>
      <c r="M18" s="11">
        <f>IF(A18="","",IFERROR(INDEX('Identificación y Versiones'!$Q:$Q,MATCH(A18,'Identificación y Versiones'!$A:$A,0)),""))</f>
        <v/>
      </c>
      <c r="N18" s="11">
        <f>IF(A18="","",IFERROR(INDEX('Identificación y Versiones'!$R:$R,MATCH(A18,'Identificación y Versiones'!$A:$A,0)),""))</f>
        <v/>
      </c>
      <c r="O18" s="11">
        <f>IF(A18="","",IFERROR(INDEX('Identificación y Versiones'!$S:$S,MATCH(A18,'Identificación y Versiones'!$A:$A,0)),""))</f>
        <v/>
      </c>
      <c r="P18" s="11">
        <f>IF(A18="","",IFERROR(INDEX('Identificación y Versiones'!$E:$E,MATCH(A18,'Identificación y Versiones'!$A:$A,0)),""))</f>
        <v/>
      </c>
      <c r="Q18" s="11">
        <f>IF(A18="","",IFERROR(INDEX('Identificación y Versiones'!$D:$D,MATCH(A18,'Identificación y Versiones'!$A:$A,0)),""))</f>
        <v/>
      </c>
      <c r="R18" s="11">
        <f>IF(A18="","",IFERROR(INDEX('Identificación y Versiones'!$L:$L,MATCH(A18,'Identificación y Versiones'!$A:$A,0)),""))</f>
        <v/>
      </c>
      <c r="S18" s="11">
        <f>IF(A18="","",COUNTIF('Casos de Prueba'!$B$2:$B$1000,A18))</f>
        <v/>
      </c>
      <c r="T18" s="11">
        <f>IF(A18="","",COUNTIFS('Casos de Prueba'!$B$2:$B$1000,A18,'Casos de Prueba'!$J$2:$J$1000,"&lt;&gt;Pendiente",'Casos de Prueba'!$J$2:$J$1000,"&lt;&gt;"))</f>
        <v/>
      </c>
      <c r="U18" s="11">
        <f>IF(A18="","",COUNTIFS('Casos de Prueba'!$B$2:$B$1000,A18,'Casos de Prueba'!$J$2:$J$1000,"Aprobado"))</f>
        <v/>
      </c>
      <c r="V18" s="11">
        <f>IF(A18="","",COUNTIFS('Casos de Prueba'!$B$2:$B$1000,A18,'Casos de Prueba'!$J$2:$J$1000,"Fallido"))</f>
        <v/>
      </c>
      <c r="W18" s="11">
        <f>IF(A18="","",COUNTIFS('Casos de Prueba'!$B$2:$B$1000,A18,'Casos de Prueba'!$J$2:$J$1000,"Bloqueado"))</f>
        <v/>
      </c>
      <c r="X18" s="11">
        <f>IF(A18="","",COUNTIFS('Casos de Prueba'!$B$2:$B$1000,A18,'Casos de Prueba'!$J$2:$J$1000,"Pendiente"))</f>
        <v/>
      </c>
      <c r="Y18" s="11">
        <f>IF(A18="","",COUNTIFS(Incidencias!$C$2:$C$1000,A18,Incidencias!$N$2:$N$1000,"&lt;&gt;Cerrado")-COUNTIFS(Incidencias!$C$2:$C$1000,A18,Incidencias!$N$2:$N$1000,""))</f>
        <v/>
      </c>
      <c r="Z18" s="15" t="n"/>
      <c r="AA18" s="15" t="n"/>
      <c r="AB18" s="15" t="n"/>
      <c r="AC18" s="15" t="n"/>
      <c r="AD18" s="13">
        <f>IF(A18="","","Resumen de visita — Sesión "&amp;A18&amp;CHAR(10)&amp;"Fecha de la visita: "&amp;C18&amp;CHAR(10)&amp;"Cliente / Comercio: "&amp;D18&amp;CHAR(10)&amp;"Máquina: "&amp;E18&amp;" "&amp;F18&amp;" (Serial: "&amp;G18&amp;")"&amp;CHAR(10)&amp;"POS: "&amp;H18&amp;" (Serial: "&amp;I18&amp;") — Firmware: "&amp;J18&amp;CHAR(10)&amp;"MDB: "&amp;K18&amp;" / "&amp;L18&amp;" / "&amp;M18&amp;CHAR(10)&amp;"Financiera: "&amp;N18&amp;"  |  Agente Polaris: "&amp;O18&amp;CHAR(10)&amp;"Participantes: "&amp;P18&amp;" (Responsable: "&amp;Q18&amp;")"&amp;CHAR(10)&amp;"Objetivo: "&amp;R18&amp;CHAR(10)&amp;CHAR(10)&amp;"Resultado de pruebas: "&amp;T18&amp;"/"&amp;S18&amp;" ejecutadas — Aprobadas: "&amp;U18&amp;", Fallidas: "&amp;V18&amp;", Bloqueadas: "&amp;W18&amp;", Pendientes: "&amp;X18&amp;CHAR(10)&amp;"Incidencias abiertas: "&amp;Y18&amp;CHAR(10)&amp;CHAR(10)&amp;"Concepto final: "&amp;AB18&amp;CHAR(10)&amp;"Pendientes: "&amp;AA18)</f>
        <v/>
      </c>
    </row>
    <row r="19">
      <c r="A19" s="15" t="n"/>
      <c r="B19" s="15" t="n"/>
      <c r="C19" s="11">
        <f>IF(A19="","",IFERROR(INDEX('Identificación y Versiones'!$B:$B,MATCH(A19,'Identificación y Versiones'!$A:$A,0)),""))</f>
        <v/>
      </c>
      <c r="D19" s="11">
        <f>IF(A19="","",IFERROR(INDEX('Identificación y Versiones'!$F:$F,MATCH(A19,'Identificación y Versiones'!$A:$A,0)),""))</f>
        <v/>
      </c>
      <c r="E19" s="11">
        <f>IF(A19="","",IFERROR(INDEX('Identificación y Versiones'!$G:$G,MATCH(A19,'Identificación y Versiones'!$A:$A,0)),""))</f>
        <v/>
      </c>
      <c r="F19" s="11">
        <f>IF(A19="","",IFERROR(INDEX('Identificación y Versiones'!$H:$H,MATCH(A19,'Identificación y Versiones'!$A:$A,0)),""))</f>
        <v/>
      </c>
      <c r="G19" s="11">
        <f>IF(A19="","",IFERROR(INDEX('Identificación y Versiones'!$I:$I,MATCH(A19,'Identificación y Versiones'!$A:$A,0)),""))</f>
        <v/>
      </c>
      <c r="H19" s="11">
        <f>IF(A19="","",IFERROR(INDEX('Identificación y Versiones'!$J:$J,MATCH(A19,'Identificación y Versiones'!$A:$A,0)),""))</f>
        <v/>
      </c>
      <c r="I19" s="11">
        <f>IF(A19="","",IFERROR(INDEX('Identificación y Versiones'!$K:$K,MATCH(A19,'Identificación y Versiones'!$A:$A,0)),""))</f>
        <v/>
      </c>
      <c r="J19" s="11">
        <f>IF(A19="","",IFERROR(INDEX('Identificación y Versiones'!$N:$N,MATCH(A19,'Identificación y Versiones'!$A:$A,0)),""))</f>
        <v/>
      </c>
      <c r="K19" s="11">
        <f>IF(A19="","",IFERROR(INDEX('Identificación y Versiones'!$O:$O,MATCH(A19,'Identificación y Versiones'!$A:$A,0)),""))</f>
        <v/>
      </c>
      <c r="L19" s="11">
        <f>IF(A19="","",IFERROR(INDEX('Identificación y Versiones'!$P:$P,MATCH(A19,'Identificación y Versiones'!$A:$A,0)),""))</f>
        <v/>
      </c>
      <c r="M19" s="11">
        <f>IF(A19="","",IFERROR(INDEX('Identificación y Versiones'!$Q:$Q,MATCH(A19,'Identificación y Versiones'!$A:$A,0)),""))</f>
        <v/>
      </c>
      <c r="N19" s="11">
        <f>IF(A19="","",IFERROR(INDEX('Identificación y Versiones'!$R:$R,MATCH(A19,'Identificación y Versiones'!$A:$A,0)),""))</f>
        <v/>
      </c>
      <c r="O19" s="11">
        <f>IF(A19="","",IFERROR(INDEX('Identificación y Versiones'!$S:$S,MATCH(A19,'Identificación y Versiones'!$A:$A,0)),""))</f>
        <v/>
      </c>
      <c r="P19" s="11">
        <f>IF(A19="","",IFERROR(INDEX('Identificación y Versiones'!$E:$E,MATCH(A19,'Identificación y Versiones'!$A:$A,0)),""))</f>
        <v/>
      </c>
      <c r="Q19" s="11">
        <f>IF(A19="","",IFERROR(INDEX('Identificación y Versiones'!$D:$D,MATCH(A19,'Identificación y Versiones'!$A:$A,0)),""))</f>
        <v/>
      </c>
      <c r="R19" s="11">
        <f>IF(A19="","",IFERROR(INDEX('Identificación y Versiones'!$L:$L,MATCH(A19,'Identificación y Versiones'!$A:$A,0)),""))</f>
        <v/>
      </c>
      <c r="S19" s="11">
        <f>IF(A19="","",COUNTIF('Casos de Prueba'!$B$2:$B$1000,A19))</f>
        <v/>
      </c>
      <c r="T19" s="11">
        <f>IF(A19="","",COUNTIFS('Casos de Prueba'!$B$2:$B$1000,A19,'Casos de Prueba'!$J$2:$J$1000,"&lt;&gt;Pendiente",'Casos de Prueba'!$J$2:$J$1000,"&lt;&gt;"))</f>
        <v/>
      </c>
      <c r="U19" s="11">
        <f>IF(A19="","",COUNTIFS('Casos de Prueba'!$B$2:$B$1000,A19,'Casos de Prueba'!$J$2:$J$1000,"Aprobado"))</f>
        <v/>
      </c>
      <c r="V19" s="11">
        <f>IF(A19="","",COUNTIFS('Casos de Prueba'!$B$2:$B$1000,A19,'Casos de Prueba'!$J$2:$J$1000,"Fallido"))</f>
        <v/>
      </c>
      <c r="W19" s="11">
        <f>IF(A19="","",COUNTIFS('Casos de Prueba'!$B$2:$B$1000,A19,'Casos de Prueba'!$J$2:$J$1000,"Bloqueado"))</f>
        <v/>
      </c>
      <c r="X19" s="11">
        <f>IF(A19="","",COUNTIFS('Casos de Prueba'!$B$2:$B$1000,A19,'Casos de Prueba'!$J$2:$J$1000,"Pendiente"))</f>
        <v/>
      </c>
      <c r="Y19" s="11">
        <f>IF(A19="","",COUNTIFS(Incidencias!$C$2:$C$1000,A19,Incidencias!$N$2:$N$1000,"&lt;&gt;Cerrado")-COUNTIFS(Incidencias!$C$2:$C$1000,A19,Incidencias!$N$2:$N$1000,""))</f>
        <v/>
      </c>
      <c r="Z19" s="15" t="n"/>
      <c r="AA19" s="15" t="n"/>
      <c r="AB19" s="15" t="n"/>
      <c r="AC19" s="15" t="n"/>
      <c r="AD19" s="13">
        <f>IF(A19="","","Resumen de visita — Sesión "&amp;A19&amp;CHAR(10)&amp;"Fecha de la visita: "&amp;C19&amp;CHAR(10)&amp;"Cliente / Comercio: "&amp;D19&amp;CHAR(10)&amp;"Máquina: "&amp;E19&amp;" "&amp;F19&amp;" (Serial: "&amp;G19&amp;")"&amp;CHAR(10)&amp;"POS: "&amp;H19&amp;" (Serial: "&amp;I19&amp;") — Firmware: "&amp;J19&amp;CHAR(10)&amp;"MDB: "&amp;K19&amp;" / "&amp;L19&amp;" / "&amp;M19&amp;CHAR(10)&amp;"Financiera: "&amp;N19&amp;"  |  Agente Polaris: "&amp;O19&amp;CHAR(10)&amp;"Participantes: "&amp;P19&amp;" (Responsable: "&amp;Q19&amp;")"&amp;CHAR(10)&amp;"Objetivo: "&amp;R19&amp;CHAR(10)&amp;CHAR(10)&amp;"Resultado de pruebas: "&amp;T19&amp;"/"&amp;S19&amp;" ejecutadas — Aprobadas: "&amp;U19&amp;", Fallidas: "&amp;V19&amp;", Bloqueadas: "&amp;W19&amp;", Pendientes: "&amp;X19&amp;CHAR(10)&amp;"Incidencias abiertas: "&amp;Y19&amp;CHAR(10)&amp;CHAR(10)&amp;"Concepto final: "&amp;AB19&amp;CHAR(10)&amp;"Pendientes: "&amp;AA19)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WPOSS</dc:creator>
  <dc:language xmlns:dc="http://purl.org/dc/elements/1.1/">en-US</dc:language>
  <dcterms:created xmlns:dcterms="http://purl.org/dc/terms/" xmlns:xsi="http://www.w3.org/2001/XMLSchema-instance" xsi:type="dcterms:W3CDTF">2026-10-26T17:25:37Z</dcterms:created>
  <dcterms:modified xmlns:dcterms="http://purl.org/dc/terms/" xmlns:xsi="http://www.w3.org/2001/XMLSchema-instance" xsi:type="dcterms:W3CDTF">2026-10-26T19:48:31Z</dcterms:modified>
  <cp:lastModifiedBy>WPOSS</cp:lastModifiedBy>
  <cp:revision>0</cp:revision>
</cp:coreProperties>
</file>